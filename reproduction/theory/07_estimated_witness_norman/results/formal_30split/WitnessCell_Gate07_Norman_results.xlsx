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66c147081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fe05fe81f54510"/>
    <x:sheet xmlns:r="http://schemas.openxmlformats.org/officeDocument/2006/relationships" name="PerSeed" sheetId="2" r:id="R5f7d501b912544f5"/>
    <x:sheet xmlns:r="http://schemas.openxmlformats.org/officeDocument/2006/relationships" name="RiskAlignment" sheetId="3" r:id="R2b0a4309cd5b4696"/>
    <x:sheet xmlns:r="http://schemas.openxmlformats.org/officeDocument/2006/relationships" name="ConfidenceIntervals" sheetId="4" r:id="R556ee43e49ac4678"/>
    <x:sheet xmlns:r="http://schemas.openxmlformats.org/officeDocument/2006/relationships" name="PairedTests" sheetId="5" r:id="R010d96b6b700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.0%"/>
    <x:numFmt numFmtId="203" formatCode="0.00E+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375623"/>
      <x:name val="Aptos"/>
    </x:font>
    <x:font>
      <x:i/>
      <x:sz val="11"/>
      <x:color rgb="FF1F4E78"/>
      <x:name val="Aptos"/>
    </x:font>
    <x:font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C6E0B4"/>
      </x:patternFill>
    </x:fill>
  </x:fills>
  <x:borders count="22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0" fontId="0" fillId="5" borderId="12" xfId="0" applyNumberFormat="1" applyFont="1" applyFill="1" applyBorder="1"/>
    <x:xf numFmtId="0" fontId="4" fillId="5" borderId="12" xfId="0" applyNumberFormat="1" applyFont="1" applyFill="1" applyBorder="1"/>
    <x:xf numFmtId="0" fontId="4" fillId="5" borderId="12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/>
    <x:xf numFmtId="200" fontId="6" fillId="0" borderId="5" xfId="0" applyNumberFormat="1" applyFont="1" applyFill="1" applyBorder="1"/>
    <x:xf numFmtId="200" fontId="6" fillId="0" borderId="6" xfId="0" applyNumberFormat="1" applyFont="1" applyFill="1" applyBorder="1"/>
    <x:xf numFmtId="202" fontId="6" fillId="0" borderId="6" xfId="0" applyNumberFormat="1" applyFont="1" applyFill="1" applyBorder="1"/>
    <x:xf numFmtId="0" fontId="6" fillId="0" borderId="7" xfId="0" applyNumberFormat="1" applyFont="1" applyFill="1" applyBorder="1"/>
    <x:xf numFmtId="201" fontId="6" fillId="0" borderId="8" xfId="0" applyNumberFormat="1" applyFont="1" applyFill="1" applyBorder="1"/>
    <x:xf numFmtId="201" fontId="6" fillId="0" borderId="9" xfId="0" applyNumberFormat="1" applyFont="1" applyFill="1" applyBorder="1"/>
    <x:xf numFmtId="202" fontId="6" fillId="0" borderId="9" xfId="0" applyNumberFormat="1" applyFont="1" applyFill="1" applyBorder="1"/>
    <x:xf numFmtId="0" fontId="6" fillId="0" borderId="10" xfId="0" applyNumberFormat="1" applyFont="1" applyFill="1" applyBorder="1"/>
    <x:xf numFmtId="201" fontId="6" fillId="0" borderId="11" xfId="0" applyNumberFormat="1" applyFont="1" applyFill="1" applyBorder="1"/>
    <x:xf numFmtId="201" fontId="6" fillId="0" borderId="12" xfId="0" applyNumberFormat="1" applyFont="1" applyFill="1" applyBorder="1"/>
    <x:xf numFmtId="0" fontId="8" fillId="5" borderId="12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2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vertical="center"/>
    </x:xf>
    <x:xf numFmtId="0" fontId="10" fillId="0" borderId="14" xfId="0" applyNumberFormat="1" applyFont="1" applyFill="1" applyBorder="1" applyAlignment="1">
      <x:alignment vertical="center"/>
    </x:xf>
    <x:xf numFmtId="0" fontId="10" fillId="0" borderId="15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/>
    </x:xf>
    <x:xf numFmtId="0" fontId="10" fillId="0" borderId="17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0" fontId="10" fillId="0" borderId="19" xfId="0" applyNumberFormat="1" applyFont="1" applyFill="1" applyBorder="1" applyAlignment="1">
      <x:alignment vertical="center"/>
    </x:xf>
    <x:xf numFmtId="0" fontId="10" fillId="0" borderId="20" xfId="0" applyNumberFormat="1" applyFont="1" applyFill="1" applyBorder="1" applyAlignment="1">
      <x:alignment vertical="center"/>
    </x:xf>
    <x:xf numFmtId="0" fontId="10" fillId="0" borderId="21" xfId="0" applyNumberFormat="1" applyFont="1" applyFill="1" applyBorder="1" applyAlignment="1">
      <x:alignment vertical="center"/>
    </x:xf>
    <x:xf numFmtId="0" fontId="10" fillId="2" borderId="13" xfId="0" applyNumberFormat="1" applyFont="1" applyFill="1" applyBorder="1" applyAlignment="1">
      <x:alignment vertical="center"/>
    </x:xf>
    <x:xf numFmtId="0" fontId="10" fillId="2" borderId="14" xfId="0" applyNumberFormat="1" applyFont="1" applyFill="1" applyBorder="1" applyAlignment="1">
      <x:alignment vertical="center"/>
    </x:xf>
    <x:xf numFmtId="0" fontId="10" fillId="2" borderId="15" xfId="0" applyNumberFormat="1" applyFont="1" applyFill="1" applyBorder="1" applyAlignment="1">
      <x:alignment vertical="center"/>
    </x:xf>
    <x:xf numFmtId="0" fontId="11" fillId="2" borderId="13" xfId="0" applyNumberFormat="1" applyFont="1" applyFill="1" applyBorder="1" applyAlignment="1">
      <x:alignment vertical="center"/>
    </x:xf>
    <x:xf numFmtId="0" fontId="11" fillId="2" borderId="14" xfId="0" applyNumberFormat="1" applyFont="1" applyFill="1" applyBorder="1" applyAlignment="1">
      <x:alignment vertical="center"/>
    </x:xf>
    <x:xf numFmtId="0" fontId="11" fillId="2" borderId="15" xfId="0" applyNumberFormat="1" applyFont="1" applyFill="1" applyBorder="1" applyAlignment="1">
      <x:alignment vertical="center"/>
    </x:xf>
    <x:xf numFmtId="0" fontId="11" fillId="2" borderId="13" xfId="0" applyNumberFormat="1" applyFont="1" applyFill="1" applyBorder="1" applyAlignment="1">
      <x:alignment vertical="center" wrapText="1"/>
    </x:xf>
    <x:xf numFmtId="0" fontId="11" fillId="2" borderId="14" xfId="0" applyNumberFormat="1" applyFont="1" applyFill="1" applyBorder="1" applyAlignment="1">
      <x:alignment vertical="center" wrapText="1"/>
    </x:xf>
    <x:xf numFmtId="0" fontId="11" fillId="2" borderId="15" xfId="0" applyNumberFormat="1" applyFont="1" applyFill="1" applyBorder="1" applyAlignment="1">
      <x:alignment vertical="center" wrapText="1"/>
    </x:xf>
    <x:xf numFmtId="0" fontId="11" fillId="2" borderId="13" xfId="0" applyNumberFormat="1" applyFont="1" applyFill="1" applyBorder="1" applyAlignment="1">
      <x:alignment horizontal="center" vertical="center" wrapText="1"/>
    </x:xf>
    <x:xf numFmtId="0" fontId="11" fillId="2" borderId="14" xfId="0" applyNumberFormat="1" applyFont="1" applyFill="1" applyBorder="1" applyAlignment="1">
      <x:alignment horizontal="center" vertical="center" wrapText="1"/>
    </x:xf>
    <x:xf numFmtId="0" fontId="11" fillId="2" borderId="15" xfId="0" applyNumberFormat="1" applyFont="1" applyFill="1" applyBorder="1" applyAlignment="1">
      <x:alignment horizontal="center" vertical="center" wrapText="1"/>
    </x:xf>
    <x:xf numFmtId="200" fontId="10" fillId="0" borderId="17" xfId="0" applyNumberFormat="1" applyFont="1" applyFill="1" applyBorder="1" applyAlignment="1">
      <x:alignment vertical="center"/>
    </x:xf>
    <x:xf numFmtId="200" fontId="10" fillId="0" borderId="18" xfId="0" applyNumberFormat="1" applyFont="1" applyFill="1" applyBorder="1" applyAlignment="1">
      <x:alignment vertical="center"/>
    </x:xf>
    <x:xf numFmtId="200" fontId="10" fillId="0" borderId="20" xfId="0" applyNumberFormat="1" applyFont="1" applyFill="1" applyBorder="1" applyAlignment="1">
      <x:alignment vertical="center"/>
    </x:xf>
    <x:xf numFmtId="200" fontId="10" fillId="0" borderId="21" xfId="0" applyNumberFormat="1" applyFont="1" applyFill="1" applyBorder="1" applyAlignment="1">
      <x:alignment vertical="center"/>
    </x:xf>
    <x:xf numFmtId="203" fontId="10" fillId="0" borderId="17" xfId="0" applyNumberFormat="1" applyFont="1" applyFill="1" applyBorder="1" applyAlignment="1">
      <x:alignment vertical="center"/>
    </x:xf>
    <x:xf numFmtId="203" fontId="10" fillId="0" borderId="20" xfId="0" applyNumberFormat="1" applyFont="1" applyFill="1" applyBorder="1" applyAlignment="1">
      <x:alignment vertical="center"/>
    </x:xf>
    <x:xf numFmtId="203" fontId="10" fillId="0" borderId="18" xfId="0" applyNumberFormat="1" applyFont="1" applyFill="1" applyBorder="1" applyAlignment="1">
      <x:alignment vertical="center"/>
    </x:xf>
    <x:xf numFmtId="203" fontId="10" fillId="0" borderId="2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abacba1e0468c" /><Relationship Type="http://schemas.openxmlformats.org/officeDocument/2006/relationships/theme" Target="/xl/theme/theme1.xml" Id="Rb466aee8281b4cb3" /><Relationship Type="http://schemas.openxmlformats.org/officeDocument/2006/relationships/sharedStrings" Target="/xl/sharedStrings.xml" Id="Rd2a9df69fe6c4421" /><Relationship Type="http://schemas.openxmlformats.org/officeDocument/2006/relationships/worksheet" Target="/xl/worksheets/sheet1.xml" Id="R31fe05fe81f54510" /><Relationship Type="http://schemas.openxmlformats.org/officeDocument/2006/relationships/worksheet" Target="/xl/worksheets/sheet2.xml" Id="R5f7d501b912544f5" /><Relationship Type="http://schemas.openxmlformats.org/officeDocument/2006/relationships/worksheet" Target="/xl/worksheets/sheet3.xml" Id="R2b0a4309cd5b4696" /><Relationship Type="http://schemas.openxmlformats.org/officeDocument/2006/relationships/worksheet" Target="/xl/worksheets/sheet4.xml" Id="R556ee43e49ac4678" /><Relationship Type="http://schemas.openxmlformats.org/officeDocument/2006/relationships/worksheet" Target="/xl/worksheets/sheet5.xml" Id="R010d96b6b70048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4" hidden="0" customWidth="1"/>
    <x:col min="5" max="5" width="31" hidden="0" customWidth="1"/>
    <x:col min="6" max="6" width="18" hidden="0" customWidth="1"/>
  </x:cols>
  <x:sheetData>
    <x:row r="1" ht="30" customHeight="1">
      <x:c r="A1" s="36" t="str">
        <x:v>WitnessCell Gate 07 — Estimated Witness Risk on Norman</x:v>
      </x:c>
      <x:c r="B1" s="36"/>
      <x:c r="C1" s="36"/>
      <x:c r="D1" s="36"/>
      <x:c r="E1" s="36"/>
      <x:c r="F1" s="36"/>
    </x:row>
    <x:row r="2">
      <x:c r="A2" s="54"/>
      <x:c r="B2" s="54"/>
      <x:c r="C2" s="54"/>
      <x:c r="D2" s="54"/>
      <x:c r="E2" s="54"/>
      <x:c r="F2" s="54"/>
    </x:row>
    <x:row r="3">
      <x:c r="A3" s="55" t="str">
        <x:v>Prediction</x:v>
      </x:c>
      <x:c r="B3" s="56" t="str">
        <x:v>Estimated Witness</x:v>
      </x:c>
      <x:c r="C3" s="57" t="str">
        <x:v>Geometry Only</x:v>
      </x:c>
      <x:c r="D3" s="54"/>
      <x:c r="E3" s="55" t="str">
        <x:v>Primary Gate</x:v>
      </x:c>
      <x:c r="F3" s="57" t="str">
        <x:v>Value</x:v>
      </x:c>
    </x:row>
    <x:row r="4">
      <x:c r="A4" s="58" t="str">
        <x:v>Residual MSE</x:v>
      </x:c>
      <x:c r="B4" s="59" t="n">
        <x:f>AVERAGEIF('PerSeed'!$B$2:$B$91,"estimated_witness",'PerSeed'!$C$2:$C$91)</x:f>
        <x:v>0.153128505284687</x:v>
      </x:c>
      <x:c r="C4" s="60" t="n">
        <x:f>AVERAGEIF('PerSeed'!$B$2:$B$91,"geometry_only",'PerSeed'!$C$2:$C$91)</x:f>
        <x:v>0.18410020887748668</x:v>
      </x:c>
      <x:c r="D4" s="54"/>
      <x:c r="E4" s="58" t="str">
        <x:v>Residual MSE reduction</x:v>
      </x:c>
      <x:c r="F4" s="61" t="n">
        <x:f>'ConfidenceIntervals'!C2</x:f>
        <x:v>0.15372466848644664</x:v>
      </x:c>
    </x:row>
    <x:row r="5">
      <x:c r="A5" s="62" t="str">
        <x:v>Residual cosine</x:v>
      </x:c>
      <x:c r="B5" s="63" t="n">
        <x:f>AVERAGEIF('PerSeed'!$B$2:$B$91,"estimated_witness",'PerSeed'!$E$2:$E$91)</x:f>
        <x:v>0.5646266827357446</x:v>
      </x:c>
      <x:c r="C5" s="64" t="n">
        <x:f>AVERAGEIF('PerSeed'!$B$2:$B$91,"geometry_only",'PerSeed'!$E$2:$E$91)</x:f>
        <x:v>0.4991471120045035</x:v>
      </x:c>
      <x:c r="D5" s="54"/>
      <x:c r="E5" s="62" t="str">
        <x:v>95% CI low</x:v>
      </x:c>
      <x:c r="F5" s="65" t="n">
        <x:f>'ConfidenceIntervals'!E2</x:f>
        <x:v>0.11376321892076376</x:v>
      </x:c>
    </x:row>
    <x:row r="6">
      <x:c r="A6" s="62" t="str">
        <x:v>Full-effect cosine</x:v>
      </x:c>
      <x:c r="B6" s="63" t="n">
        <x:f>AVERAGEIF('PerSeed'!$B$2:$B$91,"estimated_witness",'PerSeed'!$H$2:$H$91)</x:f>
        <x:v>0.9020318691520293</x:v>
      </x:c>
      <x:c r="C6" s="64" t="n">
        <x:f>AVERAGEIF('PerSeed'!$B$2:$B$91,"geometry_only",'PerSeed'!$H$2:$H$91)</x:f>
        <x:v>0.8885639820782834</x:v>
      </x:c>
      <x:c r="D6" s="54"/>
      <x:c r="E6" s="62" t="str">
        <x:v>95% CI high</x:v>
      </x:c>
      <x:c r="F6" s="65" t="n">
        <x:f>'ConfidenceIntervals'!F2</x:f>
        <x:v>0.19227285268126698</x:v>
      </x:c>
    </x:row>
    <x:row r="7">
      <x:c r="A7" s="66" t="str">
        <x:v>Selected discrepancy weight (rho)</x:v>
      </x:c>
      <x:c r="B7" s="67" t="n">
        <x:f>AVERAGEIF('PerSeed'!$B$2:$B$91,"estimated_witness",'PerSeed'!$J$2:$J$91)</x:f>
        <x:v>0.735</x:v>
      </x:c>
      <x:c r="C7" s="68" t="n">
        <x:f>AVERAGEIF('PerSeed'!$B$2:$B$91,"geometry_only",'PerSeed'!$J$2:$J$91)</x:f>
        <x:v>0</x:v>
      </x:c>
      <x:c r="D7" s="54"/>
      <x:c r="E7" s="62" t="str">
        <x:v>Risk vs oracle Spearman</x:v>
      </x:c>
      <x:c r="F7" s="64" t="n">
        <x:f>AVERAGE('RiskAlignment'!B2:B31)</x:f>
        <x:v>0.43838176638176635</x:v>
      </x:c>
    </x:row>
    <x:row r="8">
      <x:c r="A8" s="54"/>
      <x:c r="B8" s="54"/>
      <x:c r="C8" s="54"/>
      <x:c r="D8" s="54"/>
      <x:c r="E8" s="62" t="str">
        <x:v>Risk vs realized MSE Spearman</x:v>
      </x:c>
      <x:c r="F8" s="64" t="n">
        <x:f>AVERAGE('RiskAlignment'!C2:C31)</x:f>
        <x:v>0.46764672364672355</x:v>
      </x:c>
    </x:row>
    <x:row r="9">
      <x:c r="A9" s="54"/>
      <x:c r="B9" s="54"/>
      <x:c r="C9" s="54"/>
      <x:c r="D9" s="54"/>
      <x:c r="E9" s="66" t="str">
        <x:v>Formal verdict</x:v>
      </x:c>
      <x:c r="F9" s="69" t="str">
        <x:v>PASS</x:v>
      </x:c>
    </x:row>
    <x:row r="10">
      <x:c r="A10" s="54"/>
      <x:c r="B10" s="54"/>
      <x:c r="C10" s="54"/>
      <x:c r="D10" s="54"/>
      <x:c r="E10" s="54"/>
      <x:c r="F10" s="54"/>
    </x:row>
    <x:row r="11" ht="42" customHeight="1">
      <x:c r="A11" s="70" t="str">
        <x:v>Frozen protocol: smoke seeds 0–4; untouched formal seeds 100–129; outer-test double outcomes excluded from K, k_t and k_tt estimation.</x:v>
      </x:c>
      <x:c r="B11" s="70"/>
      <x:c r="C11" s="70"/>
      <x:c r="D11" s="70"/>
      <x:c r="E11" s="70"/>
      <x:c r="F11" s="70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890000104904175" hidden="0" customWidth="1"/>
    <x:col min="2" max="2" width="12.670000076293945" hidden="0" customWidth="1"/>
    <x:col min="3" max="3" width="10" hidden="0" customWidth="1"/>
    <x:col min="4" max="4" width="10.890000343322754" hidden="0" customWidth="1"/>
    <x:col min="5" max="5" width="11.670000076293945" hidden="0" customWidth="1"/>
    <x:col min="6" max="6" width="11.329999923706055" hidden="0" customWidth="1"/>
    <x:col min="7" max="7" width="12.220000267028809" hidden="0" customWidth="1"/>
    <x:col min="8" max="8" width="13" hidden="0" customWidth="1"/>
    <x:col min="9" max="9" width="16.670000076293945" hidden="0" customWidth="1"/>
    <x:col min="10" max="10" width="9.670000076293945" hidden="0" customWidth="1"/>
    <x:col min="11" max="11" width="15.109999656677246" hidden="0" customWidth="1"/>
    <x:col min="12" max="12" width="12.779999732971191" hidden="0" customWidth="1"/>
    <x:col min="13" max="13" width="16.219999313354492" hidden="0" customWidth="1"/>
    <x:col min="14" max="14" width="18.889999389648438" hidden="0" customWidth="1"/>
  </x:cols>
  <x:sheetData>
    <x:row r="1" ht="15" hidden="0" customHeight="1">
      <x:c r="A1" s="91" t="str">
        <x:v>seed</x:v>
      </x:c>
      <x:c r="B1" s="92" t="str">
        <x:v>strategy</x:v>
      </x:c>
      <x:c r="C1" s="92" t="str">
        <x:v>residual_mse</x:v>
      </x:c>
      <x:c r="D1" s="92" t="str">
        <x:v>residual_nmse</x:v>
      </x:c>
      <x:c r="E1" s="92" t="str">
        <x:v>residual_cosine</x:v>
      </x:c>
      <x:c r="F1" s="92" t="str">
        <x:v>full_effect_mse</x:v>
      </x:c>
      <x:c r="G1" s="92" t="str">
        <x:v>full_effect_nmse</x:v>
      </x:c>
      <x:c r="H1" s="92" t="str">
        <x:v>full_effect_cosine</x:v>
      </x:c>
      <x:c r="I1" s="92" t="str">
        <x:v>selected_length_factor</x:v>
      </x:c>
      <x:c r="J1" s="92" t="str">
        <x:v>selected_rho</x:v>
      </x:c>
      <x:c r="K1" s="92" t="str">
        <x:v>selected_noise_ratio</x:v>
      </x:c>
      <x:c r="L1" s="92" t="str">
        <x:v>covariance_scale</x:v>
      </x:c>
      <x:c r="M1" s="92" t="str">
        <x:v>estimated_K_diagonal</x:v>
      </x:c>
      <x:c r="N1" s="93" t="str">
        <x:v>estimated_noise_variance</x:v>
      </x:c>
    </x:row>
    <x:row r="2" ht="15" hidden="0" customHeight="1">
      <x:c r="A2" s="76" t="n">
        <x:v>100</x:v>
      </x:c>
      <x:c r="B2" s="77" t="str">
        <x:v>estimated_witness</x:v>
      </x:c>
      <x:c r="C2" s="94" t="n">
        <x:v>0.11289279653425184</x:v>
      </x:c>
      <x:c r="D2" s="94" t="n">
        <x:v>0.6100402755945578</x:v>
      </x:c>
      <x:c r="E2" s="94" t="n">
        <x:v>0.6042737585191001</x:v>
      </x:c>
      <x:c r="F2" s="94" t="n">
        <x:v>0.11289279650723516</x:v>
      </x:c>
      <x:c r="G2" s="94" t="n">
        <x:v>0.12646910557431282</x:v>
      </x:c>
      <x:c r="H2" s="94" t="n">
        <x:v>0.9245857184480121</x:v>
      </x:c>
      <x:c r="I2" s="94" t="n">
        <x:v>4</x:v>
      </x:c>
      <x:c r="J2" s="94" t="n">
        <x:v>0.75</x:v>
      </x:c>
      <x:c r="K2" s="94" t="n">
        <x:v>0.1</x:v>
      </x:c>
      <x:c r="L2" s="94" t="n">
        <x:v>0.404776956941121</x:v>
      </x:c>
      <x:c r="M2" s="94" t="n">
        <x:v>0.3035827177058407</x:v>
      </x:c>
      <x:c r="N2" s="95" t="n">
        <x:v>0.0404776956941121</x:v>
      </x:c>
    </x:row>
    <x:row r="3" ht="15" hidden="0" customHeight="1">
      <x:c r="A3" s="76" t="n">
        <x:v>100</x:v>
      </x:c>
      <x:c r="B3" s="77" t="str">
        <x:v>geometry_only</x:v>
      </x:c>
      <x:c r="C3" s="94" t="n">
        <x:v>0.10709436386343713</x:v>
      </x:c>
      <x:c r="D3" s="94" t="n">
        <x:v>0.5787072094192763</x:v>
      </x:c>
      <x:c r="E3" s="94" t="n">
        <x:v>0.5596167953165729</x:v>
      </x:c>
      <x:c r="F3" s="94" t="n">
        <x:v>0.10709436383506095</x:v>
      </x:c>
      <x:c r="G3" s="94" t="n">
        <x:v>0.11997336256438794</x:v>
      </x:c>
      <x:c r="H3" s="94" t="n">
        <x:v>0.9248936432798851</x:v>
      </x:c>
      <x:c r="I3" s="94" t="n">
        <x:v>0.25</x:v>
      </x:c>
      <x:c r="J3" s="94" t="n">
        <x:v>0</x:v>
      </x:c>
      <x:c r="K3" s="94" t="n">
        <x:v>1</x:v>
      </x:c>
      <x:c r="L3" s="94" t="n">
        <x:v>0.10249194519005986</x:v>
      </x:c>
      <x:c r="M3" s="94" t="n">
        <x:v>0</x:v>
      </x:c>
      <x:c r="N3" s="95" t="n">
        <x:v>0.10249194519005986</x:v>
      </x:c>
    </x:row>
    <x:row r="4" ht="15" hidden="0" customHeight="1">
      <x:c r="A4" s="76" t="n">
        <x:v>100</x:v>
      </x:c>
      <x:c r="B4" s="77" t="str">
        <x:v>empirical_oracle</x:v>
      </x:c>
      <x:c r="C4" s="94" t="n">
        <x:v>0.04499977220548914</x:v>
      </x:c>
      <x:c r="D4" s="94" t="n">
        <x:v>0.24316585540158922</x:v>
      </x:c>
      <x:c r="E4" s="94" t="n">
        <x:v>0.7893660998098213</x:v>
      </x:c>
      <x:c r="F4" s="94" t="n">
        <x:v>0.04499977219550888</x:v>
      </x:c>
      <x:c r="G4" s="94" t="n">
        <x:v>0.050411373592371814</x:v>
      </x:c>
      <x:c r="H4" s="94" t="n">
        <x:v>0.962194542696684</x:v>
      </x:c>
      <x:c r="I4" s="94"/>
      <x:c r="J4" s="94"/>
      <x:c r="K4" s="94"/>
      <x:c r="L4" s="94" t="n">
        <x:v>1</x:v>
      </x:c>
      <x:c r="M4" s="94"/>
      <x:c r="N4" s="95" t="n">
        <x:v>2.2627368549295047e-11</x:v>
      </x:c>
    </x:row>
    <x:row r="5" ht="15" hidden="0" customHeight="1">
      <x:c r="A5" s="76" t="n">
        <x:v>101</x:v>
      </x:c>
      <x:c r="B5" s="77" t="str">
        <x:v>estimated_witness</x:v>
      </x:c>
      <x:c r="C5" s="94" t="n">
        <x:v>0.12715000253818384</x:v>
      </x:c>
      <x:c r="D5" s="94" t="n">
        <x:v>0.372087448188289</x:v>
      </x:c>
      <x:c r="E5" s="94" t="n">
        <x:v>0.6946886131015028</x:v>
      </x:c>
      <x:c r="F5" s="94" t="n">
        <x:v>0.12715000252320452</x:v>
      </x:c>
      <x:c r="G5" s="94" t="n">
        <x:v>0.13570045569920014</x:v>
      </x:c>
      <x:c r="H5" s="94" t="n">
        <x:v>0.8854087685958388</x:v>
      </x:c>
      <x:c r="I5" s="94" t="n">
        <x:v>4</x:v>
      </x:c>
      <x:c r="J5" s="94" t="n">
        <x:v>0.9</x:v>
      </x:c>
      <x:c r="K5" s="94" t="n">
        <x:v>0.03</x:v>
      </x:c>
      <x:c r="L5" s="94" t="n">
        <x:v>0.8047500709310902</x:v>
      </x:c>
      <x:c r="M5" s="94" t="n">
        <x:v>0.7242750638379812</x:v>
      </x:c>
      <x:c r="N5" s="95" t="n">
        <x:v>0.024142502127932706</x:v>
      </x:c>
    </x:row>
    <x:row r="6" ht="15" hidden="0" customHeight="1">
      <x:c r="A6" s="76" t="n">
        <x:v>101</x:v>
      </x:c>
      <x:c r="B6" s="77" t="str">
        <x:v>geometry_only</x:v>
      </x:c>
      <x:c r="C6" s="94" t="n">
        <x:v>0.16548364011489217</x:v>
      </x:c>
      <x:c r="D6" s="94" t="n">
        <x:v>0.48426570301300836</x:v>
      </x:c>
      <x:c r="E6" s="94" t="n">
        <x:v>0.5711701625564414</x:v>
      </x:c>
      <x:c r="F6" s="94" t="n">
        <x:v>0.16548364012564987</x:v>
      </x:c>
      <x:c r="G6" s="94" t="n">
        <x:v>0.17661191451187688</x:v>
      </x:c>
      <x:c r="H6" s="94" t="n">
        <x:v>0.8557748076690829</x:v>
      </x:c>
      <x:c r="I6" s="94" t="n">
        <x:v>0.25</x:v>
      </x:c>
      <x:c r="J6" s="94" t="n">
        <x:v>0</x:v>
      </x:c>
      <x:c r="K6" s="94" t="n">
        <x:v>1</x:v>
      </x:c>
      <x:c r="L6" s="94" t="n">
        <x:v>0.0965876125250827</x:v>
      </x:c>
      <x:c r="M6" s="94" t="n">
        <x:v>0</x:v>
      </x:c>
      <x:c r="N6" s="95" t="n">
        <x:v>0.0965876125250827</x:v>
      </x:c>
    </x:row>
    <x:row r="7" ht="15" hidden="0" customHeight="1">
      <x:c r="A7" s="76" t="n">
        <x:v>101</x:v>
      </x:c>
      <x:c r="B7" s="77" t="str">
        <x:v>empirical_oracle</x:v>
      </x:c>
      <x:c r="C7" s="94" t="n">
        <x:v>0.049638221429341864</x:v>
      </x:c>
      <x:c r="D7" s="94" t="n">
        <x:v>0.14525960499845436</x:v>
      </x:c>
      <x:c r="E7" s="94" t="n">
        <x:v>0.8600221803055891</x:v>
      </x:c>
      <x:c r="F7" s="94" t="n">
        <x:v>0.04963822143406066</x:v>
      </x:c>
      <x:c r="G7" s="94" t="n">
        <x:v>0.05297624172261064</x:v>
      </x:c>
      <x:c r="H7" s="94" t="n">
        <x:v>0.9534598737343287</x:v>
      </x:c>
      <x:c r="I7" s="94"/>
      <x:c r="J7" s="94"/>
      <x:c r="K7" s="94"/>
      <x:c r="L7" s="94" t="n">
        <x:v>1</x:v>
      </x:c>
      <x:c r="M7" s="94"/>
      <x:c r="N7" s="95" t="n">
        <x:v>2.002457288584563e-11</x:v>
      </x:c>
    </x:row>
    <x:row r="8" ht="15" hidden="0" customHeight="1">
      <x:c r="A8" s="76" t="n">
        <x:v>102</x:v>
      </x:c>
      <x:c r="B8" s="77" t="str">
        <x:v>estimated_witness</x:v>
      </x:c>
      <x:c r="C8" s="94" t="n">
        <x:v>0.12763264423117282</x:v>
      </x:c>
      <x:c r="D8" s="94" t="n">
        <x:v>0.4255713206909441</x:v>
      </x:c>
      <x:c r="E8" s="94" t="n">
        <x:v>0.6568000896169899</x:v>
      </x:c>
      <x:c r="F8" s="94" t="n">
        <x:v>0.12763264421803996</x:v>
      </x:c>
      <x:c r="G8" s="94" t="n">
        <x:v>0.1643216070883227</x:v>
      </x:c>
      <x:c r="H8" s="94" t="n">
        <x:v>0.9051222356770737</x:v>
      </x:c>
      <x:c r="I8" s="94" t="n">
        <x:v>4</x:v>
      </x:c>
      <x:c r="J8" s="94" t="n">
        <x:v>0.9</x:v>
      </x:c>
      <x:c r="K8" s="94" t="n">
        <x:v>0.03</x:v>
      </x:c>
      <x:c r="L8" s="94" t="n">
        <x:v>0.7807622763430109</x:v>
      </x:c>
      <x:c r="M8" s="94" t="n">
        <x:v>0.7026860487087098</x:v>
      </x:c>
      <x:c r="N8" s="95" t="n">
        <x:v>0.023422868290290326</x:v>
      </x:c>
    </x:row>
    <x:row r="9" ht="15" hidden="0" customHeight="1">
      <x:c r="A9" s="76" t="n">
        <x:v>102</x:v>
      </x:c>
      <x:c r="B9" s="77" t="str">
        <x:v>geometry_only</x:v>
      </x:c>
      <x:c r="C9" s="94" t="n">
        <x:v>0.137238166524278</x:v>
      </x:c>
      <x:c r="D9" s="94" t="n">
        <x:v>0.4575994498018559</x:v>
      </x:c>
      <x:c r="E9" s="94" t="n">
        <x:v>0.6685244088996236</x:v>
      </x:c>
      <x:c r="F9" s="94" t="n">
        <x:v>0.13723816647129078</x:v>
      </x:c>
      <x:c r="G9" s="94" t="n">
        <x:v>0.17668830890859044</x:v>
      </x:c>
      <x:c r="H9" s="94" t="n">
        <x:v>0.9080444962219024</x:v>
      </x:c>
      <x:c r="I9" s="94" t="n">
        <x:v>0.25</x:v>
      </x:c>
      <x:c r="J9" s="94" t="n">
        <x:v>0</x:v>
      </x:c>
      <x:c r="K9" s="94" t="n">
        <x:v>1</x:v>
      </x:c>
      <x:c r="L9" s="94" t="n">
        <x:v>0.10028904729333436</x:v>
      </x:c>
      <x:c r="M9" s="94" t="n">
        <x:v>0</x:v>
      </x:c>
      <x:c r="N9" s="95" t="n">
        <x:v>0.10028904729333436</x:v>
      </x:c>
    </x:row>
    <x:row r="10" ht="15" hidden="0" customHeight="1">
      <x:c r="A10" s="76" t="n">
        <x:v>102</x:v>
      </x:c>
      <x:c r="B10" s="77" t="str">
        <x:v>empirical_oracle</x:v>
      </x:c>
      <x:c r="C10" s="94" t="n">
        <x:v>0.05063840918537248</x:v>
      </x:c>
      <x:c r="D10" s="94" t="n">
        <x:v>0.16884594693246976</x:v>
      </x:c>
      <x:c r="E10" s="94" t="n">
        <x:v>0.8370571559778986</x:v>
      </x:c>
      <x:c r="F10" s="94" t="n">
        <x:v>0.05063840918493638</x:v>
      </x:c>
      <x:c r="G10" s="94" t="n">
        <x:v>0.06519480050456178</x:v>
      </x:c>
      <x:c r="H10" s="94" t="n">
        <x:v>0.9559707916536995</x:v>
      </x:c>
      <x:c r="I10" s="94"/>
      <x:c r="J10" s="94"/>
      <x:c r="K10" s="94"/>
      <x:c r="L10" s="94" t="n">
        <x:v>1</x:v>
      </x:c>
      <x:c r="M10" s="94"/>
      <x:c r="N10" s="95" t="n">
        <x:v>2.0756563922582737e-11</x:v>
      </x:c>
    </x:row>
    <x:row r="11" ht="15" hidden="0" customHeight="1">
      <x:c r="A11" s="76" t="n">
        <x:v>103</x:v>
      </x:c>
      <x:c r="B11" s="77" t="str">
        <x:v>estimated_witness</x:v>
      </x:c>
      <x:c r="C11" s="94" t="n">
        <x:v>0.20119696381734073</x:v>
      </x:c>
      <x:c r="D11" s="94" t="n">
        <x:v>0.949433494329694</x:v>
      </x:c>
      <x:c r="E11" s="94" t="n">
        <x:v>0.44672810208872554</x:v>
      </x:c>
      <x:c r="F11" s="94" t="n">
        <x:v>0.20119696379549715</x:v>
      </x:c>
      <x:c r="G11" s="94" t="n">
        <x:v>0.1449612074203088</x:v>
      </x:c>
      <x:c r="H11" s="94" t="n">
        <x:v>0.9508931972384793</x:v>
      </x:c>
      <x:c r="I11" s="94" t="n">
        <x:v>4</x:v>
      </x:c>
      <x:c r="J11" s="94" t="n">
        <x:v>0.75</x:v>
      </x:c>
      <x:c r="K11" s="94" t="n">
        <x:v>0.1</x:v>
      </x:c>
      <x:c r="L11" s="94" t="n">
        <x:v>0.3812694529712099</x:v>
      </x:c>
      <x:c r="M11" s="94" t="n">
        <x:v>0.2859520897284074</x:v>
      </x:c>
      <x:c r="N11" s="95" t="n">
        <x:v>0.03812694529712099</x:v>
      </x:c>
    </x:row>
    <x:row r="12" ht="15" hidden="0" customHeight="1">
      <x:c r="A12" s="76" t="n">
        <x:v>103</x:v>
      </x:c>
      <x:c r="B12" s="77" t="str">
        <x:v>geometry_only</x:v>
      </x:c>
      <x:c r="C12" s="94" t="n">
        <x:v>0.20057881325457919</x:v>
      </x:c>
      <x:c r="D12" s="94" t="n">
        <x:v>0.9465164878416769</x:v>
      </x:c>
      <x:c r="E12" s="94" t="n">
        <x:v>0.43445801383928795</x:v>
      </x:c>
      <x:c r="F12" s="94" t="n">
        <x:v>0.20057881323986565</x:v>
      </x:c>
      <x:c r="G12" s="94" t="n">
        <x:v>0.14451583364715903</x:v>
      </x:c>
      <x:c r="H12" s="94" t="n">
        <x:v>0.9563029590263975</x:v>
      </x:c>
      <x:c r="I12" s="94" t="n">
        <x:v>0.25</x:v>
      </x:c>
      <x:c r="J12" s="94" t="n">
        <x:v>0</x:v>
      </x:c>
      <x:c r="K12" s="94" t="n">
        <x:v>1</x:v>
      </x:c>
      <x:c r="L12" s="94" t="n">
        <x:v>0.09637704739239362</x:v>
      </x:c>
      <x:c r="M12" s="94" t="n">
        <x:v>0</x:v>
      </x:c>
      <x:c r="N12" s="95" t="n">
        <x:v>0.09637704739239362</x:v>
      </x:c>
    </x:row>
    <x:row r="13" ht="15" hidden="0" customHeight="1">
      <x:c r="A13" s="76" t="n">
        <x:v>103</x:v>
      </x:c>
      <x:c r="B13" s="77" t="str">
        <x:v>empirical_oracle</x:v>
      </x:c>
      <x:c r="C13" s="94" t="n">
        <x:v>0.052308696832023924</x:v>
      </x:c>
      <x:c r="D13" s="94" t="n">
        <x:v>0.24684084627712793</x:v>
      </x:c>
      <x:c r="E13" s="94" t="n">
        <x:v>0.7851397691102379</x:v>
      </x:c>
      <x:c r="F13" s="94" t="n">
        <x:v>0.052308696824657296</x:v>
      </x:c>
      <x:c r="G13" s="94" t="n">
        <x:v>0.037688102778690634</x:v>
      </x:c>
      <x:c r="H13" s="94" t="n">
        <x:v>0.977142050986088</x:v>
      </x:c>
      <x:c r="I13" s="94"/>
      <x:c r="J13" s="94"/>
      <x:c r="K13" s="94"/>
      <x:c r="L13" s="94" t="n">
        <x:v>1</x:v>
      </x:c>
      <x:c r="M13" s="94"/>
      <x:c r="N13" s="95" t="n">
        <x:v>2.2549796144532865e-11</x:v>
      </x:c>
    </x:row>
    <x:row r="14" ht="15" hidden="0" customHeight="1">
      <x:c r="A14" s="76" t="n">
        <x:v>104</x:v>
      </x:c>
      <x:c r="B14" s="77" t="str">
        <x:v>estimated_witness</x:v>
      </x:c>
      <x:c r="C14" s="94" t="n">
        <x:v>0.16063305175607517</x:v>
      </x:c>
      <x:c r="D14" s="94" t="n">
        <x:v>0.685804947920077</x:v>
      </x:c>
      <x:c r="E14" s="94" t="n">
        <x:v>0.5053014050881516</x:v>
      </x:c>
      <x:c r="F14" s="94" t="n">
        <x:v>0.16063305177037848</x:v>
      </x:c>
      <x:c r="G14" s="94" t="n">
        <x:v>0.19105898911639957</x:v>
      </x:c>
      <x:c r="H14" s="94" t="n">
        <x:v>0.8993715129687587</x:v>
      </x:c>
      <x:c r="I14" s="94" t="n">
        <x:v>0.5</x:v>
      </x:c>
      <x:c r="J14" s="94" t="n">
        <x:v>0.5</x:v>
      </x:c>
      <x:c r="K14" s="94" t="n">
        <x:v>0.03</x:v>
      </x:c>
      <x:c r="L14" s="94" t="n">
        <x:v>0.2809970650851062</x:v>
      </x:c>
      <x:c r="M14" s="94" t="n">
        <x:v>0.1404985325425531</x:v>
      </x:c>
      <x:c r="N14" s="95" t="n">
        <x:v>0.008429911952553186</x:v>
      </x:c>
    </x:row>
    <x:row r="15" ht="15" hidden="0" customHeight="1">
      <x:c r="A15" s="76" t="n">
        <x:v>104</x:v>
      </x:c>
      <x:c r="B15" s="77" t="str">
        <x:v>geometry_only</x:v>
      </x:c>
      <x:c r="C15" s="94" t="n">
        <x:v>0.20390516003182993</x:v>
      </x:c>
      <x:c r="D15" s="94" t="n">
        <x:v>0.8705504012251036</x:v>
      </x:c>
      <x:c r="E15" s="94" t="n">
        <x:v>0.4502204372627832</x:v>
      </x:c>
      <x:c r="F15" s="94" t="n">
        <x:v>0.2039051600295715</x:v>
      </x:c>
      <x:c r="G15" s="94" t="n">
        <x:v>0.24252738350857656</x:v>
      </x:c>
      <x:c r="H15" s="94" t="n">
        <x:v>0.8698494863785153</x:v>
      </x:c>
      <x:c r="I15" s="94" t="n">
        <x:v>0.25</x:v>
      </x:c>
      <x:c r="J15" s="94" t="n">
        <x:v>0</x:v>
      </x:c>
      <x:c r="K15" s="94" t="n">
        <x:v>0.3</x:v>
      </x:c>
      <x:c r="L15" s="94" t="n">
        <x:v>0.19616276174921915</x:v>
      </x:c>
      <x:c r="M15" s="94" t="n">
        <x:v>0</x:v>
      </x:c>
      <x:c r="N15" s="95" t="n">
        <x:v>0.058848828524765744</x:v>
      </x:c>
    </x:row>
    <x:row r="16" ht="15" hidden="0" customHeight="1">
      <x:c r="A16" s="76" t="n">
        <x:v>104</x:v>
      </x:c>
      <x:c r="B16" s="77" t="str">
        <x:v>empirical_oracle</x:v>
      </x:c>
      <x:c r="C16" s="94" t="n">
        <x:v>0.05095811287678601</x:v>
      </x:c>
      <x:c r="D16" s="94" t="n">
        <x:v>0.21755999506650672</x:v>
      </x:c>
      <x:c r="E16" s="94" t="n">
        <x:v>0.826750402599565</x:v>
      </x:c>
      <x:c r="F16" s="94" t="n">
        <x:v>0.05095811288668708</x:v>
      </x:c>
      <x:c r="G16" s="94" t="n">
        <x:v>0.06061022577923265</x:v>
      </x:c>
      <x:c r="H16" s="94" t="n">
        <x:v>0.9485575781750367</x:v>
      </x:c>
      <x:c r="I16" s="94"/>
      <x:c r="J16" s="94"/>
      <x:c r="K16" s="94"/>
      <x:c r="L16" s="94" t="n">
        <x:v>1</x:v>
      </x:c>
      <x:c r="M16" s="94"/>
      <x:c r="N16" s="95" t="n">
        <x:v>2.08188062556178e-11</x:v>
      </x:c>
    </x:row>
    <x:row r="17" ht="15" hidden="0" customHeight="1">
      <x:c r="A17" s="76" t="n">
        <x:v>105</x:v>
      </x:c>
      <x:c r="B17" s="77" t="str">
        <x:v>estimated_witness</x:v>
      </x:c>
      <x:c r="C17" s="94" t="n">
        <x:v>0.19486130136625512</x:v>
      </x:c>
      <x:c r="D17" s="94" t="n">
        <x:v>1.0127650389841552</x:v>
      </x:c>
      <x:c r="E17" s="94" t="n">
        <x:v>0.4302288143294681</x:v>
      </x:c>
      <x:c r="F17" s="94" t="n">
        <x:v>0.19486130138363061</x:v>
      </x:c>
      <x:c r="G17" s="94" t="n">
        <x:v>0.2554893731555692</x:v>
      </x:c>
      <x:c r="H17" s="94" t="n">
        <x:v>0.8553365685828029</x:v>
      </x:c>
      <x:c r="I17" s="94" t="n">
        <x:v>4</x:v>
      </x:c>
      <x:c r="J17" s="94" t="n">
        <x:v>0.5</x:v>
      </x:c>
      <x:c r="K17" s="94" t="n">
        <x:v>0.1</x:v>
      </x:c>
      <x:c r="L17" s="94" t="n">
        <x:v>0.33244950808810764</x:v>
      </x:c>
      <x:c r="M17" s="94" t="n">
        <x:v>0.16622475404405382</x:v>
      </x:c>
      <x:c r="N17" s="95" t="n">
        <x:v>0.033244950808810764</x:v>
      </x:c>
    </x:row>
    <x:row r="18" ht="15" hidden="0" customHeight="1">
      <x:c r="A18" s="76" t="n">
        <x:v>105</x:v>
      </x:c>
      <x:c r="B18" s="77" t="str">
        <x:v>geometry_only</x:v>
      </x:c>
      <x:c r="C18" s="94" t="n">
        <x:v>0.24594535816919116</x:v>
      </x:c>
      <x:c r="D18" s="94" t="n">
        <x:v>1.2782674574569368</x:v>
      </x:c>
      <x:c r="E18" s="94" t="n">
        <x:v>0.34005799145955956</x:v>
      </x:c>
      <x:c r="F18" s="94" t="n">
        <x:v>0.24594535818815277</x:v>
      </x:c>
      <x:c r="G18" s="94" t="n">
        <x:v>0.3224674419591641</x:v>
      </x:c>
      <x:c r="H18" s="94" t="n">
        <x:v>0.8220514302269868</x:v>
      </x:c>
      <x:c r="I18" s="94" t="n">
        <x:v>0.25</x:v>
      </x:c>
      <x:c r="J18" s="94" t="n">
        <x:v>0</x:v>
      </x:c>
      <x:c r="K18" s="94" t="n">
        <x:v>0.3</x:v>
      </x:c>
      <x:c r="L18" s="94" t="n">
        <x:v>0.19396396936773383</x:v>
      </x:c>
      <x:c r="M18" s="94" t="n">
        <x:v>0</x:v>
      </x:c>
      <x:c r="N18" s="95" t="n">
        <x:v>0.058189190810320146</x:v>
      </x:c>
    </x:row>
    <x:row r="19" ht="15" hidden="0" customHeight="1">
      <x:c r="A19" s="76" t="n">
        <x:v>105</x:v>
      </x:c>
      <x:c r="B19" s="77" t="str">
        <x:v>empirical_oracle</x:v>
      </x:c>
      <x:c r="C19" s="94" t="n">
        <x:v>0.04248991280637468</x:v>
      </x:c>
      <x:c r="D19" s="94" t="n">
        <x:v>0.22083552710601712</x:v>
      </x:c>
      <x:c r="E19" s="94" t="n">
        <x:v>0.8344854254590768</x:v>
      </x:c>
      <x:c r="F19" s="94" t="n">
        <x:v>0.04248991281998711</x:v>
      </x:c>
      <x:c r="G19" s="94" t="n">
        <x:v>0.055709990207040816</x:v>
      </x:c>
      <x:c r="H19" s="94" t="n">
        <x:v>0.9332420704597053</x:v>
      </x:c>
      <x:c r="I19" s="94"/>
      <x:c r="J19" s="94"/>
      <x:c r="K19" s="94"/>
      <x:c r="L19" s="94" t="n">
        <x:v>1</x:v>
      </x:c>
      <x:c r="M19" s="94"/>
      <x:c r="N19" s="95" t="n">
        <x:v>2.2266129024706834e-11</x:v>
      </x:c>
    </x:row>
    <x:row r="20" ht="15" hidden="0" customHeight="1">
      <x:c r="A20" s="76" t="n">
        <x:v>106</x:v>
      </x:c>
      <x:c r="B20" s="77" t="str">
        <x:v>estimated_witness</x:v>
      </x:c>
      <x:c r="C20" s="94" t="n">
        <x:v>0.15565895938113694</x:v>
      </x:c>
      <x:c r="D20" s="94" t="n">
        <x:v>0.5091622687692297</x:v>
      </x:c>
      <x:c r="E20" s="94" t="n">
        <x:v>0.6287180059348099</x:v>
      </x:c>
      <x:c r="F20" s="94" t="n">
        <x:v>0.15565895941990793</x:v>
      </x:c>
      <x:c r="G20" s="94" t="n">
        <x:v>0.19735146491953268</x:v>
      </x:c>
      <x:c r="H20" s="94" t="n">
        <x:v>0.891731819843425</x:v>
      </x:c>
      <x:c r="I20" s="94" t="n">
        <x:v>2</x:v>
      </x:c>
      <x:c r="J20" s="94" t="n">
        <x:v>0.9</x:v>
      </x:c>
      <x:c r="K20" s="94" t="n">
        <x:v>0.1</x:v>
      </x:c>
      <x:c r="L20" s="94" t="n">
        <x:v>0.39911340883649055</x:v>
      </x:c>
      <x:c r="M20" s="94" t="n">
        <x:v>0.3592020679528415</x:v>
      </x:c>
      <x:c r="N20" s="95" t="n">
        <x:v>0.03991134088364906</x:v>
      </x:c>
    </x:row>
    <x:row r="21" ht="15" hidden="0" customHeight="1">
      <x:c r="A21" s="76" t="n">
        <x:v>106</x:v>
      </x:c>
      <x:c r="B21" s="77" t="str">
        <x:v>geometry_only</x:v>
      </x:c>
      <x:c r="C21" s="94" t="n">
        <x:v>0.18361297177046723</x:v>
      </x:c>
      <x:c r="D21" s="94" t="n">
        <x:v>0.6006001688165002</x:v>
      </x:c>
      <x:c r="E21" s="94" t="n">
        <x:v>0.4695918864157085</x:v>
      </x:c>
      <x:c r="F21" s="94" t="n">
        <x:v>0.18361297181171665</x:v>
      </x:c>
      <x:c r="G21" s="94" t="n">
        <x:v>0.23279282541983073</x:v>
      </x:c>
      <x:c r="H21" s="94" t="n">
        <x:v>0.8663884615228606</x:v>
      </x:c>
      <x:c r="I21" s="94" t="n">
        <x:v>0.25</x:v>
      </x:c>
      <x:c r="J21" s="94" t="n">
        <x:v>0</x:v>
      </x:c>
      <x:c r="K21" s="94" t="n">
        <x:v>1</x:v>
      </x:c>
      <x:c r="L21" s="94" t="n">
        <x:v>0.09469388382334372</x:v>
      </x:c>
      <x:c r="M21" s="94" t="n">
        <x:v>0</x:v>
      </x:c>
      <x:c r="N21" s="95" t="n">
        <x:v>0.09469388382334372</x:v>
      </x:c>
    </x:row>
    <x:row r="22" ht="15" hidden="0" customHeight="1">
      <x:c r="A22" s="76" t="n">
        <x:v>106</x:v>
      </x:c>
      <x:c r="B22" s="77" t="str">
        <x:v>empirical_oracle</x:v>
      </x:c>
      <x:c r="C22" s="94" t="n">
        <x:v>0.052321927899308715</x:v>
      </x:c>
      <x:c r="D22" s="94" t="n">
        <x:v>0.17114563544242997</x:v>
      </x:c>
      <x:c r="E22" s="94" t="n">
        <x:v>0.8272734943519227</x:v>
      </x:c>
      <x:c r="F22" s="94" t="n">
        <x:v>0.052321927932503606</x:v>
      </x:c>
      <x:c r="G22" s="94" t="n">
        <x:v>0.06633610531237553</x:v>
      </x:c>
      <x:c r="H22" s="94" t="n">
        <x:v>0.9417641219459993</x:v>
      </x:c>
      <x:c r="I22" s="94"/>
      <x:c r="J22" s="94"/>
      <x:c r="K22" s="94"/>
      <x:c r="L22" s="94" t="n">
        <x:v>1</x:v>
      </x:c>
      <x:c r="M22" s="94"/>
      <x:c r="N22" s="95" t="n">
        <x:v>2.023043265355682e-11</x:v>
      </x:c>
    </x:row>
    <x:row r="23" ht="15" hidden="0" customHeight="1">
      <x:c r="A23" s="76" t="n">
        <x:v>107</x:v>
      </x:c>
      <x:c r="B23" s="77" t="str">
        <x:v>estimated_witness</x:v>
      </x:c>
      <x:c r="C23" s="94" t="n">
        <x:v>0.1968699157141906</x:v>
      </x:c>
      <x:c r="D23" s="94" t="n">
        <x:v>0.5441382627123356</x:v>
      </x:c>
      <x:c r="E23" s="94" t="n">
        <x:v>0.5694695356760751</x:v>
      </x:c>
      <x:c r="F23" s="94" t="n">
        <x:v>0.19686991564724962</x:v>
      </x:c>
      <x:c r="G23" s="94" t="n">
        <x:v>0.19560898377501149</x:v>
      </x:c>
      <x:c r="H23" s="94" t="n">
        <x:v>0.8985321828010846</x:v>
      </x:c>
      <x:c r="I23" s="94" t="n">
        <x:v>0.5</x:v>
      </x:c>
      <x:c r="J23" s="94" t="n">
        <x:v>0.5</x:v>
      </x:c>
      <x:c r="K23" s="94" t="n">
        <x:v>0.1</x:v>
      </x:c>
      <x:c r="L23" s="94" t="n">
        <x:v>0.2189364988767949</x:v>
      </x:c>
      <x:c r="M23" s="94" t="n">
        <x:v>0.10946824943839745</x:v>
      </x:c>
      <x:c r="N23" s="95" t="n">
        <x:v>0.02189364988767949</x:v>
      </x:c>
    </x:row>
    <x:row r="24" ht="15" hidden="0" customHeight="1">
      <x:c r="A24" s="76" t="n">
        <x:v>107</x:v>
      </x:c>
      <x:c r="B24" s="77" t="str">
        <x:v>geometry_only</x:v>
      </x:c>
      <x:c r="C24" s="94" t="n">
        <x:v>0.22718736642431855</x:v>
      </x:c>
      <x:c r="D24" s="94" t="n">
        <x:v>0.6279341281162988</x:v>
      </x:c>
      <x:c r="E24" s="94" t="n">
        <x:v>0.5452478118848947</x:v>
      </x:c>
      <x:c r="F24" s="94" t="n">
        <x:v>0.22718736635113596</x:v>
      </x:c>
      <x:c r="G24" s="94" t="n">
        <x:v>0.22573225427745944</x:v>
      </x:c>
      <x:c r="H24" s="94" t="n">
        <x:v>0.8803355545137322</x:v>
      </x:c>
      <x:c r="I24" s="94" t="n">
        <x:v>0.25</x:v>
      </x:c>
      <x:c r="J24" s="94" t="n">
        <x:v>0</x:v>
      </x:c>
      <x:c r="K24" s="94" t="n">
        <x:v>1</x:v>
      </x:c>
      <x:c r="L24" s="94" t="n">
        <x:v>0.09070860358314636</x:v>
      </x:c>
      <x:c r="M24" s="94" t="n">
        <x:v>0</x:v>
      </x:c>
      <x:c r="N24" s="95" t="n">
        <x:v>0.09070860358314636</x:v>
      </x:c>
    </x:row>
    <x:row r="25" ht="15" hidden="0" customHeight="1">
      <x:c r="A25" s="76" t="n">
        <x:v>107</x:v>
      </x:c>
      <x:c r="B25" s="77" t="str">
        <x:v>empirical_oracle</x:v>
      </x:c>
      <x:c r="C25" s="94" t="n">
        <x:v>0.05283723503137293</x:v>
      </x:c>
      <x:c r="D25" s="94" t="n">
        <x:v>0.1460393842918796</x:v>
      </x:c>
      <x:c r="E25" s="94" t="n">
        <x:v>0.8503560772318556</x:v>
      </x:c>
      <x:c r="F25" s="94" t="n">
        <x:v>0.05283723500449563</x:v>
      </x:c>
      <x:c r="G25" s="94" t="n">
        <x:v>0.05249881786524373</x:v>
      </x:c>
      <x:c r="H25" s="94" t="n">
        <x:v>0.9577704481016749</x:v>
      </x:c>
      <x:c r="I25" s="94"/>
      <x:c r="J25" s="94"/>
      <x:c r="K25" s="94"/>
      <x:c r="L25" s="94" t="n">
        <x:v>1</x:v>
      </x:c>
      <x:c r="M25" s="94"/>
      <x:c r="N25" s="95" t="n">
        <x:v>1.9705930652309495e-11</x:v>
      </x:c>
    </x:row>
    <x:row r="26" ht="15" hidden="0" customHeight="1">
      <x:c r="A26" s="76" t="n">
        <x:v>108</x:v>
      </x:c>
      <x:c r="B26" s="77" t="str">
        <x:v>estimated_witness</x:v>
      </x:c>
      <x:c r="C26" s="94" t="n">
        <x:v>0.1223681507940511</x:v>
      </x:c>
      <x:c r="D26" s="94" t="n">
        <x:v>0.5736820407776873</x:v>
      </x:c>
      <x:c r="E26" s="94" t="n">
        <x:v>0.5243374265110009</x:v>
      </x:c>
      <x:c r="F26" s="94" t="n">
        <x:v>0.12236815078836968</x:v>
      </x:c>
      <x:c r="G26" s="94" t="n">
        <x:v>0.158137537392401</x:v>
      </x:c>
      <x:c r="H26" s="94" t="n">
        <x:v>0.9214679735200189</x:v>
      </x:c>
      <x:c r="I26" s="94" t="n">
        <x:v>4</x:v>
      </x:c>
      <x:c r="J26" s="94" t="n">
        <x:v>0.9</x:v>
      </x:c>
      <x:c r="K26" s="94" t="n">
        <x:v>0.03</x:v>
      </x:c>
      <x:c r="L26" s="94" t="n">
        <x:v>0.7900801713526729</x:v>
      </x:c>
      <x:c r="M26" s="94" t="n">
        <x:v>0.7110721542174057</x:v>
      </x:c>
      <x:c r="N26" s="95" t="n">
        <x:v>0.02370240514058019</x:v>
      </x:c>
    </x:row>
    <x:row r="27" ht="15" hidden="0" customHeight="1">
      <x:c r="A27" s="76" t="n">
        <x:v>108</x:v>
      </x:c>
      <x:c r="B27" s="77" t="str">
        <x:v>geometry_only</x:v>
      </x:c>
      <x:c r="C27" s="94" t="n">
        <x:v>0.1128763825501262</x:v>
      </x:c>
      <x:c r="D27" s="94" t="n">
        <x:v>0.5291830682801115</x:v>
      </x:c>
      <x:c r="E27" s="94" t="n">
        <x:v>0.4865958625098122</x:v>
      </x:c>
      <x:c r="F27" s="94" t="n">
        <x:v>0.1128763825164732</x:v>
      </x:c>
      <x:c r="G27" s="94" t="n">
        <x:v>0.14587123402549831</x:v>
      </x:c>
      <x:c r="H27" s="94" t="n">
        <x:v>0.9239758110815697</x:v>
      </x:c>
      <x:c r="I27" s="94" t="n">
        <x:v>0.25</x:v>
      </x:c>
      <x:c r="J27" s="94" t="n">
        <x:v>0</x:v>
      </x:c>
      <x:c r="K27" s="94" t="n">
        <x:v>1</x:v>
      </x:c>
      <x:c r="L27" s="94" t="n">
        <x:v>0.1014860993305685</x:v>
      </x:c>
      <x:c r="M27" s="94" t="n">
        <x:v>0</x:v>
      </x:c>
      <x:c r="N27" s="95" t="n">
        <x:v>0.1014860993305685</x:v>
      </x:c>
    </x:row>
    <x:row r="28" ht="15" hidden="0" customHeight="1">
      <x:c r="A28" s="76" t="n">
        <x:v>108</x:v>
      </x:c>
      <x:c r="B28" s="77" t="str">
        <x:v>empirical_oracle</x:v>
      </x:c>
      <x:c r="C28" s="94" t="n">
        <x:v>0.04060987065538741</x:v>
      </x:c>
      <x:c r="D28" s="94" t="n">
        <x:v>0.19038576069119736</x:v>
      </x:c>
      <x:c r="E28" s="94" t="n">
        <x:v>0.8334329508206451</x:v>
      </x:c>
      <x:c r="F28" s="94" t="n">
        <x:v>0.040609870655970846</x:v>
      </x:c>
      <x:c r="G28" s="94" t="n">
        <x:v>0.052480526166205035</x:v>
      </x:c>
      <x:c r="H28" s="94" t="n">
        <x:v>0.9599939114697377</x:v>
      </x:c>
      <x:c r="I28" s="94"/>
      <x:c r="J28" s="94"/>
      <x:c r="K28" s="94"/>
      <x:c r="L28" s="94" t="n">
        <x:v>1</x:v>
      </x:c>
      <x:c r="M28" s="94"/>
      <x:c r="N28" s="95" t="n">
        <x:v>2.204197579032467e-11</x:v>
      </x:c>
    </x:row>
    <x:row r="29" ht="15" hidden="0" customHeight="1">
      <x:c r="A29" s="76" t="n">
        <x:v>109</x:v>
      </x:c>
      <x:c r="B29" s="77" t="str">
        <x:v>estimated_witness</x:v>
      </x:c>
      <x:c r="C29" s="94" t="n">
        <x:v>0.15095771514935588</x:v>
      </x:c>
      <x:c r="D29" s="94" t="n">
        <x:v>0.46346207808516243</x:v>
      </x:c>
      <x:c r="E29" s="94" t="n">
        <x:v>0.6685914589865204</x:v>
      </x:c>
      <x:c r="F29" s="94" t="n">
        <x:v>0.15095771514929618</x:v>
      </x:c>
      <x:c r="G29" s="94" t="n">
        <x:v>0.13908494059324492</x:v>
      </x:c>
      <x:c r="H29" s="94" t="n">
        <x:v>0.9232863475179992</x:v>
      </x:c>
      <x:c r="I29" s="94" t="n">
        <x:v>4</x:v>
      </x:c>
      <x:c r="J29" s="94" t="n">
        <x:v>0.75</x:v>
      </x:c>
      <x:c r="K29" s="94" t="n">
        <x:v>0.1</x:v>
      </x:c>
      <x:c r="L29" s="94" t="n">
        <x:v>0.37945424801274275</x:v>
      </x:c>
      <x:c r="M29" s="94" t="n">
        <x:v>0.28459068600955706</x:v>
      </x:c>
      <x:c r="N29" s="95" t="n">
        <x:v>0.037945424801274275</x:v>
      </x:c>
    </x:row>
    <x:row r="30" ht="15" hidden="0" customHeight="1">
      <x:c r="A30" s="76" t="n">
        <x:v>109</x:v>
      </x:c>
      <x:c r="B30" s="77" t="str">
        <x:v>geometry_only</x:v>
      </x:c>
      <x:c r="C30" s="94" t="n">
        <x:v>0.21988122498322718</x:v>
      </x:c>
      <x:c r="D30" s="94" t="n">
        <x:v>0.6750672488770272</x:v>
      </x:c>
      <x:c r="E30" s="94" t="n">
        <x:v>0.5633844185160005</x:v>
      </x:c>
      <x:c r="F30" s="94" t="n">
        <x:v>0.2198812249787531</x:v>
      </x:c>
      <x:c r="G30" s="94" t="n">
        <x:v>0.2025876390848539</x:v>
      </x:c>
      <x:c r="H30" s="94" t="n">
        <x:v>0.9148543167718483</x:v>
      </x:c>
      <x:c r="I30" s="94" t="n">
        <x:v>0.25</x:v>
      </x:c>
      <x:c r="J30" s="94" t="n">
        <x:v>0</x:v>
      </x:c>
      <x:c r="K30" s="94" t="n">
        <x:v>1</x:v>
      </x:c>
      <x:c r="L30" s="94" t="n">
        <x:v>0.0904309714023129</x:v>
      </x:c>
      <x:c r="M30" s="94" t="n">
        <x:v>0</x:v>
      </x:c>
      <x:c r="N30" s="95" t="n">
        <x:v>0.0904309714023129</x:v>
      </x:c>
    </x:row>
    <x:row r="31" ht="15" hidden="0" customHeight="1">
      <x:c r="A31" s="76" t="n">
        <x:v>109</x:v>
      </x:c>
      <x:c r="B31" s="77" t="str">
        <x:v>empirical_oracle</x:v>
      </x:c>
      <x:c r="C31" s="94" t="n">
        <x:v>0.04692194899899863</x:v>
      </x:c>
      <x:c r="D31" s="94" t="n">
        <x:v>0.14405718826206482</x:v>
      </x:c>
      <x:c r="E31" s="94" t="n">
        <x:v>0.8641463995150567</x:v>
      </x:c>
      <x:c r="F31" s="94" t="n">
        <x:v>0.046921948997204095</x:v>
      </x:c>
      <x:c r="G31" s="94" t="n">
        <x:v>0.04323155316931694</x:v>
      </x:c>
      <x:c r="H31" s="94" t="n">
        <x:v>0.9591440430785605</x:v>
      </x:c>
      <x:c r="I31" s="94"/>
      <x:c r="J31" s="94"/>
      <x:c r="K31" s="94"/>
      <x:c r="L31" s="94" t="n">
        <x:v>1</x:v>
      </x:c>
      <x:c r="M31" s="94"/>
      <x:c r="N31" s="95" t="n">
        <x:v>1.9969394316104217e-11</x:v>
      </x:c>
    </x:row>
    <x:row r="32" ht="15" hidden="0" customHeight="1">
      <x:c r="A32" s="76" t="n">
        <x:v>110</x:v>
      </x:c>
      <x:c r="B32" s="77" t="str">
        <x:v>estimated_witness</x:v>
      </x:c>
      <x:c r="C32" s="94" t="n">
        <x:v>0.14355835118564825</x:v>
      </x:c>
      <x:c r="D32" s="94" t="n">
        <x:v>0.5079380462689691</x:v>
      </x:c>
      <x:c r="E32" s="94" t="n">
        <x:v>0.5502788975685459</x:v>
      </x:c>
      <x:c r="F32" s="94" t="n">
        <x:v>0.14355835119449564</x:v>
      </x:c>
      <x:c r="G32" s="94" t="n">
        <x:v>0.16169625004051902</x:v>
      </x:c>
      <x:c r="H32" s="94" t="n">
        <x:v>0.9093967204577182</x:v>
      </x:c>
      <x:c r="I32" s="94" t="n">
        <x:v>2</x:v>
      </x:c>
      <x:c r="J32" s="94" t="n">
        <x:v>0.75</x:v>
      </x:c>
      <x:c r="K32" s="94" t="n">
        <x:v>0.1</x:v>
      </x:c>
      <x:c r="L32" s="94" t="n">
        <x:v>0.32679337422045246</x:v>
      </x:c>
      <x:c r="M32" s="94" t="n">
        <x:v>0.24509503066533933</x:v>
      </x:c>
      <x:c r="N32" s="95" t="n">
        <x:v>0.03267933742204525</x:v>
      </x:c>
    </x:row>
    <x:row r="33" ht="15" hidden="0" customHeight="1">
      <x:c r="A33" s="76" t="n">
        <x:v>110</x:v>
      </x:c>
      <x:c r="B33" s="77" t="str">
        <x:v>geometry_only</x:v>
      </x:c>
      <x:c r="C33" s="94" t="n">
        <x:v>0.16595826735193636</x:v>
      </x:c>
      <x:c r="D33" s="94" t="n">
        <x:v>0.5871934121889876</x:v>
      </x:c>
      <x:c r="E33" s="94" t="n">
        <x:v>0.5192177451202296</x:v>
      </x:c>
      <x:c r="F33" s="94" t="n">
        <x:v>0.16595826734683639</x:v>
      </x:c>
      <x:c r="G33" s="94" t="n">
        <x:v>0.18692628655820245</x:v>
      </x:c>
      <x:c r="H33" s="94" t="n">
        <x:v>0.8966799197559432</x:v>
      </x:c>
      <x:c r="I33" s="94" t="n">
        <x:v>0.25</x:v>
      </x:c>
      <x:c r="J33" s="94" t="n">
        <x:v>0</x:v>
      </x:c>
      <x:c r="K33" s="94" t="n">
        <x:v>1</x:v>
      </x:c>
      <x:c r="L33" s="94" t="n">
        <x:v>0.09627576224858639</x:v>
      </x:c>
      <x:c r="M33" s="94" t="n">
        <x:v>0</x:v>
      </x:c>
      <x:c r="N33" s="95" t="n">
        <x:v>0.09627576224858639</x:v>
      </x:c>
    </x:row>
    <x:row r="34" ht="15" hidden="0" customHeight="1">
      <x:c r="A34" s="76" t="n">
        <x:v>110</x:v>
      </x:c>
      <x:c r="B34" s="77" t="str">
        <x:v>empirical_oracle</x:v>
      </x:c>
      <x:c r="C34" s="94" t="n">
        <x:v>0.05195360611407946</x:v>
      </x:c>
      <x:c r="D34" s="94" t="n">
        <x:v>0.18382220865776605</x:v>
      </x:c>
      <x:c r="E34" s="94" t="n">
        <x:v>0.8194549289063557</x:v>
      </x:c>
      <x:c r="F34" s="94" t="n">
        <x:v>0.051953606147647664</x:v>
      </x:c>
      <x:c r="G34" s="94" t="n">
        <x:v>0.05851769137955093</x:v>
      </x:c>
      <x:c r="H34" s="94" t="n">
        <x:v>0.9543750265327374</x:v>
      </x:c>
      <x:c r="I34" s="94"/>
      <x:c r="J34" s="94"/>
      <x:c r="K34" s="94"/>
      <x:c r="L34" s="94" t="n">
        <x:v>1</x:v>
      </x:c>
      <x:c r="M34" s="94"/>
      <x:c r="N34" s="95" t="n">
        <x:v>2.0808793632647615e-11</x:v>
      </x:c>
    </x:row>
    <x:row r="35" ht="15" hidden="0" customHeight="1">
      <x:c r="A35" s="76" t="n">
        <x:v>111</x:v>
      </x:c>
      <x:c r="B35" s="77" t="str">
        <x:v>estimated_witness</x:v>
      </x:c>
      <x:c r="C35" s="94" t="n">
        <x:v>0.18095212005158365</x:v>
      </x:c>
      <x:c r="D35" s="94" t="n">
        <x:v>1.018547708503011</x:v>
      </x:c>
      <x:c r="E35" s="94" t="n">
        <x:v>0.41779618770590443</x:v>
      </x:c>
      <x:c r="F35" s="94" t="n">
        <x:v>0.18095212005067093</x:v>
      </x:c>
      <x:c r="G35" s="94" t="n">
        <x:v>0.176140210979193</x:v>
      </x:c>
      <x:c r="H35" s="94" t="n">
        <x:v>0.8807484700817423</x:v>
      </x:c>
      <x:c r="I35" s="94" t="n">
        <x:v>4</x:v>
      </x:c>
      <x:c r="J35" s="94" t="n">
        <x:v>0.75</x:v>
      </x:c>
      <x:c r="K35" s="94" t="n">
        <x:v>0.1</x:v>
      </x:c>
      <x:c r="L35" s="94" t="n">
        <x:v>0.3817356726460771</x:v>
      </x:c>
      <x:c r="M35" s="94" t="n">
        <x:v>0.28630175448455786</x:v>
      </x:c>
      <x:c r="N35" s="95" t="n">
        <x:v>0.038173567264607716</x:v>
      </x:c>
    </x:row>
    <x:row r="36" ht="15" hidden="0" customHeight="1">
      <x:c r="A36" s="76" t="n">
        <x:v>111</x:v>
      </x:c>
      <x:c r="B36" s="77" t="str">
        <x:v>geometry_only</x:v>
      </x:c>
      <x:c r="C36" s="94" t="n">
        <x:v>0.26284471559747435</x:v>
      </x:c>
      <x:c r="D36" s="94" t="n">
        <x:v>1.479506748457077</x:v>
      </x:c>
      <x:c r="E36" s="94" t="n">
        <x:v>0.2998977903882937</x:v>
      </x:c>
      <x:c r="F36" s="94" t="n">
        <x:v>0.2628447155961124</x:v>
      </x:c>
      <x:c r="G36" s="94" t="n">
        <x:v>0.25585510491339253</x:v>
      </x:c>
      <x:c r="H36" s="94" t="n">
        <x:v>0.8576951671935161</x:v>
      </x:c>
      <x:c r="I36" s="94" t="n">
        <x:v>0.25</x:v>
      </x:c>
      <x:c r="J36" s="94" t="n">
        <x:v>0</x:v>
      </x:c>
      <x:c r="K36" s="94" t="n">
        <x:v>0.3</x:v>
      </x:c>
      <x:c r="L36" s="94" t="n">
        <x:v>0.1965252119611654</x:v>
      </x:c>
      <x:c r="M36" s="94" t="n">
        <x:v>0</x:v>
      </x:c>
      <x:c r="N36" s="95" t="n">
        <x:v>0.05895756358834962</x:v>
      </x:c>
    </x:row>
    <x:row r="37" ht="15" hidden="0" customHeight="1">
      <x:c r="A37" s="76" t="n">
        <x:v>111</x:v>
      </x:c>
      <x:c r="B37" s="77" t="str">
        <x:v>empirical_oracle</x:v>
      </x:c>
      <x:c r="C37" s="94" t="n">
        <x:v>0.052882606503629984</x:v>
      </x:c>
      <x:c r="D37" s="94" t="n">
        <x:v>0.29766690580129157</x:v>
      </x:c>
      <x:c r="E37" s="94" t="n">
        <x:v>0.7974924286995383</x:v>
      </x:c>
      <x:c r="F37" s="94" t="n">
        <x:v>0.05288260649237498</x:v>
      </x:c>
      <x:c r="G37" s="94" t="n">
        <x:v>0.05147634336689847</x:v>
      </x:c>
      <x:c r="H37" s="94" t="n">
        <x:v>0.9313095968943005</x:v>
      </x:c>
      <x:c r="I37" s="94"/>
      <x:c r="J37" s="94"/>
      <x:c r="K37" s="94"/>
      <x:c r="L37" s="94" t="n">
        <x:v>1</x:v>
      </x:c>
      <x:c r="M37" s="94"/>
      <x:c r="N37" s="95" t="n">
        <x:v>2.2622728419510764e-11</x:v>
      </x:c>
    </x:row>
    <x:row r="38" ht="15" hidden="0" customHeight="1">
      <x:c r="A38" s="76" t="n">
        <x:v>112</x:v>
      </x:c>
      <x:c r="B38" s="77" t="str">
        <x:v>estimated_witness</x:v>
      </x:c>
      <x:c r="C38" s="94" t="n">
        <x:v>0.13908851216992618</x:v>
      </x:c>
      <x:c r="D38" s="94" t="n">
        <x:v>0.8622227390932238</x:v>
      </x:c>
      <x:c r="E38" s="94" t="n">
        <x:v>0.4419027285489852</x:v>
      </x:c>
      <x:c r="F38" s="94" t="n">
        <x:v>0.1390885121678098</x:v>
      </x:c>
      <x:c r="G38" s="94" t="n">
        <x:v>0.19040281687615299</x:v>
      </x:c>
      <x:c r="H38" s="94" t="n">
        <x:v>0.9012102492606653</x:v>
      </x:c>
      <x:c r="I38" s="94" t="n">
        <x:v>2</x:v>
      </x:c>
      <x:c r="J38" s="94" t="n">
        <x:v>0.9</x:v>
      </x:c>
      <x:c r="K38" s="94" t="n">
        <x:v>0.03</x:v>
      </x:c>
      <x:c r="L38" s="94" t="n">
        <x:v>0.6107502994061805</x:v>
      </x:c>
      <x:c r="M38" s="94" t="n">
        <x:v>0.5496752694655624</x:v>
      </x:c>
      <x:c r="N38" s="95" t="n">
        <x:v>0.018322508982185414</x:v>
      </x:c>
    </x:row>
    <x:row r="39" ht="15" hidden="0" customHeight="1">
      <x:c r="A39" s="76" t="n">
        <x:v>112</x:v>
      </x:c>
      <x:c r="B39" s="77" t="str">
        <x:v>geometry_only</x:v>
      </x:c>
      <x:c r="C39" s="94" t="n">
        <x:v>0.16182346756011554</x:v>
      </x:c>
      <x:c r="D39" s="94" t="n">
        <x:v>1.0031588610192572</x:v>
      </x:c>
      <x:c r="E39" s="94" t="n">
        <x:v>0.4152956090806689</x:v>
      </x:c>
      <x:c r="F39" s="94" t="n">
        <x:v>0.16182346755535412</x:v>
      </x:c>
      <x:c r="G39" s="94" t="n">
        <x:v>0.2215254414543743</x:v>
      </x:c>
      <x:c r="H39" s="94" t="n">
        <x:v>0.8961250153134257</x:v>
      </x:c>
      <x:c r="I39" s="94" t="n">
        <x:v>0.25</x:v>
      </x:c>
      <x:c r="J39" s="94" t="n">
        <x:v>0</x:v>
      </x:c>
      <x:c r="K39" s="94" t="n">
        <x:v>1</x:v>
      </x:c>
      <x:c r="L39" s="94" t="n">
        <x:v>0.09719490281545844</x:v>
      </x:c>
      <x:c r="M39" s="94" t="n">
        <x:v>0</x:v>
      </x:c>
      <x:c r="N39" s="95" t="n">
        <x:v>0.09719490281545844</x:v>
      </x:c>
    </x:row>
    <x:row r="40" ht="15" hidden="0" customHeight="1">
      <x:c r="A40" s="76" t="n">
        <x:v>112</x:v>
      </x:c>
      <x:c r="B40" s="77" t="str">
        <x:v>empirical_oracle</x:v>
      </x:c>
      <x:c r="C40" s="94" t="n">
        <x:v>0.03857895493142353</x:v>
      </x:c>
      <x:c r="D40" s="94" t="n">
        <x:v>0.23915456189284276</x:v>
      </x:c>
      <x:c r="E40" s="94" t="n">
        <x:v>0.8272729758447631</x:v>
      </x:c>
      <x:c r="F40" s="94" t="n">
        <x:v>0.038578954927520025</x:v>
      </x:c>
      <x:c r="G40" s="94" t="n">
        <x:v>0.052811994145681745</x:v>
      </x:c>
      <x:c r="H40" s="94" t="n">
        <x:v>0.9484545093317504</x:v>
      </x:c>
      <x:c r="I40" s="94"/>
      <x:c r="J40" s="94"/>
      <x:c r="K40" s="94"/>
      <x:c r="L40" s="94" t="n">
        <x:v>1</x:v>
      </x:c>
      <x:c r="M40" s="94"/>
      <x:c r="N40" s="95" t="n">
        <x:v>2.293308089069883e-11</x:v>
      </x:c>
    </x:row>
    <x:row r="41" ht="15" hidden="0" customHeight="1">
      <x:c r="A41" s="76" t="n">
        <x:v>113</x:v>
      </x:c>
      <x:c r="B41" s="77" t="str">
        <x:v>estimated_witness</x:v>
      </x:c>
      <x:c r="C41" s="94" t="n">
        <x:v>0.1439427282473536</x:v>
      </x:c>
      <x:c r="D41" s="94" t="n">
        <x:v>0.5672036488566776</x:v>
      </x:c>
      <x:c r="E41" s="94" t="n">
        <x:v>0.6393932524685347</x:v>
      </x:c>
      <x:c r="F41" s="94" t="n">
        <x:v>0.14394272825993554</x:v>
      </x:c>
      <x:c r="G41" s="94" t="n">
        <x:v>0.20452857577802983</x:v>
      </x:c>
      <x:c r="H41" s="94" t="n">
        <x:v>0.9194634061282375</x:v>
      </x:c>
      <x:c r="I41" s="94" t="n">
        <x:v>1</x:v>
      </x:c>
      <x:c r="J41" s="94" t="n">
        <x:v>0.75</x:v>
      </x:c>
      <x:c r="K41" s="94" t="n">
        <x:v>0.1</x:v>
      </x:c>
      <x:c r="L41" s="94" t="n">
        <x:v>0.2755506538019005</x:v>
      </x:c>
      <x:c r="M41" s="94" t="n">
        <x:v>0.20666299035142538</x:v>
      </x:c>
      <x:c r="N41" s="95" t="n">
        <x:v>0.027555065380190053</x:v>
      </x:c>
    </x:row>
    <x:row r="42" ht="15" hidden="0" customHeight="1">
      <x:c r="A42" s="76" t="n">
        <x:v>113</x:v>
      </x:c>
      <x:c r="B42" s="77" t="str">
        <x:v>geometry_only</x:v>
      </x:c>
      <x:c r="C42" s="94" t="n">
        <x:v>0.1404023037275232</x:v>
      </x:c>
      <x:c r="D42" s="94" t="n">
        <x:v>0.5532526717520987</x:v>
      </x:c>
      <x:c r="E42" s="94" t="n">
        <x:v>0.6163249909644235</x:v>
      </x:c>
      <x:c r="F42" s="94" t="n">
        <x:v>0.14040230373848323</x:v>
      </x:c>
      <x:c r="G42" s="94" t="n">
        <x:v>0.1994979778883287</x:v>
      </x:c>
      <x:c r="H42" s="94" t="n">
        <x:v>0.9127790714950687</x:v>
      </x:c>
      <x:c r="I42" s="94" t="n">
        <x:v>0.25</x:v>
      </x:c>
      <x:c r="J42" s="94" t="n">
        <x:v>0</x:v>
      </x:c>
      <x:c r="K42" s="94" t="n">
        <x:v>1</x:v>
      </x:c>
      <x:c r="L42" s="94" t="n">
        <x:v>0.10010397704688317</x:v>
      </x:c>
      <x:c r="M42" s="94" t="n">
        <x:v>0</x:v>
      </x:c>
      <x:c r="N42" s="95" t="n">
        <x:v>0.10010397704688317</x:v>
      </x:c>
    </x:row>
    <x:row r="43" ht="15" hidden="0" customHeight="1">
      <x:c r="A43" s="76" t="n">
        <x:v>113</x:v>
      </x:c>
      <x:c r="B43" s="77" t="str">
        <x:v>empirical_oracle</x:v>
      </x:c>
      <x:c r="C43" s="94" t="n">
        <x:v>0.04561620111711959</x:v>
      </x:c>
      <x:c r="D43" s="94" t="n">
        <x:v>0.1797497937940187</x:v>
      </x:c>
      <x:c r="E43" s="94" t="n">
        <x:v>0.8292454576404203</x:v>
      </x:c>
      <x:c r="F43" s="94" t="n">
        <x:v>0.04561620113673426</x:v>
      </x:c>
      <x:c r="G43" s="94" t="n">
        <x:v>0.0648161721240435</x:v>
      </x:c>
      <x:c r="H43" s="94" t="n">
        <x:v>0.9466075018699186</x:v>
      </x:c>
      <x:c r="I43" s="94"/>
      <x:c r="J43" s="94"/>
      <x:c r="K43" s="94"/>
      <x:c r="L43" s="94" t="n">
        <x:v>1</x:v>
      </x:c>
      <x:c r="M43" s="94"/>
      <x:c r="N43" s="95" t="n">
        <x:v>2.181310108288188e-11</x:v>
      </x:c>
    </x:row>
    <x:row r="44" ht="15" hidden="0" customHeight="1">
      <x:c r="A44" s="76" t="n">
        <x:v>114</x:v>
      </x:c>
      <x:c r="B44" s="77" t="str">
        <x:v>estimated_witness</x:v>
      </x:c>
      <x:c r="C44" s="94" t="n">
        <x:v>0.1343407824384561</x:v>
      </x:c>
      <x:c r="D44" s="94" t="n">
        <x:v>0.43286102453393943</x:v>
      </x:c>
      <x:c r="E44" s="94" t="n">
        <x:v>0.6463879252857891</x:v>
      </x:c>
      <x:c r="F44" s="94" t="n">
        <x:v>0.13434078239786973</x:v>
      </x:c>
      <x:c r="G44" s="94" t="n">
        <x:v>0.15804127685463304</x:v>
      </x:c>
      <x:c r="H44" s="94" t="n">
        <x:v>0.9083933777395196</x:v>
      </x:c>
      <x:c r="I44" s="94" t="n">
        <x:v>2</x:v>
      </x:c>
      <x:c r="J44" s="94" t="n">
        <x:v>0.75</x:v>
      </x:c>
      <x:c r="K44" s="94" t="n">
        <x:v>0.1</x:v>
      </x:c>
      <x:c r="L44" s="94" t="n">
        <x:v>0.3293151360264188</x:v>
      </x:c>
      <x:c r="M44" s="94" t="n">
        <x:v>0.24698635201981411</x:v>
      </x:c>
      <x:c r="N44" s="95" t="n">
        <x:v>0.03293151360264188</x:v>
      </x:c>
    </x:row>
    <x:row r="45" ht="15" hidden="0" customHeight="1">
      <x:c r="A45" s="76" t="n">
        <x:v>114</x:v>
      </x:c>
      <x:c r="B45" s="77" t="str">
        <x:v>geometry_only</x:v>
      </x:c>
      <x:c r="C45" s="94" t="n">
        <x:v>0.18923642462860774</x:v>
      </x:c>
      <x:c r="D45" s="94" t="n">
        <x:v>0.609740922726906</x:v>
      </x:c>
      <x:c r="E45" s="94" t="n">
        <x:v>0.5605812110032948</x:v>
      </x:c>
      <x:c r="F45" s="94" t="n">
        <x:v>0.18923642456362477</x:v>
      </x:c>
      <x:c r="G45" s="94" t="n">
        <x:v>0.2226216464696944</x:v>
      </x:c>
      <x:c r="H45" s="94" t="n">
        <x:v>0.8648682369641592</x:v>
      </x:c>
      <x:c r="I45" s="94" t="n">
        <x:v>0.25</x:v>
      </x:c>
      <x:c r="J45" s="94" t="n">
        <x:v>0</x:v>
      </x:c>
      <x:c r="K45" s="94" t="n">
        <x:v>1</x:v>
      </x:c>
      <x:c r="L45" s="94" t="n">
        <x:v>0.09529281672721304</x:v>
      </x:c>
      <x:c r="M45" s="94" t="n">
        <x:v>0</x:v>
      </x:c>
      <x:c r="N45" s="95" t="n">
        <x:v>0.09529281672721304</x:v>
      </x:c>
    </x:row>
    <x:row r="46" ht="15" hidden="0" customHeight="1">
      <x:c r="A46" s="76" t="n">
        <x:v>114</x:v>
      </x:c>
      <x:c r="B46" s="77" t="str">
        <x:v>empirical_oracle</x:v>
      </x:c>
      <x:c r="C46" s="94" t="n">
        <x:v>0.04149851662607846</x:v>
      </x:c>
      <x:c r="D46" s="94" t="n">
        <x:v>0.13371286140626917</x:v>
      </x:c>
      <x:c r="E46" s="94" t="n">
        <x:v>0.8705185611037468</x:v>
      </x:c>
      <x:c r="F46" s="94" t="n">
        <x:v>0.041498516611370655</x:v>
      </x:c>
      <x:c r="G46" s="94" t="n">
        <x:v>0.04881971383351283</x:v>
      </x:c>
      <x:c r="H46" s="94" t="n">
        <x:v>0.9510624508422746</x:v>
      </x:c>
      <x:c r="I46" s="94"/>
      <x:c r="J46" s="94"/>
      <x:c r="K46" s="94"/>
      <x:c r="L46" s="94" t="n">
        <x:v>1</x:v>
      </x:c>
      <x:c r="M46" s="94"/>
      <x:c r="N46" s="95" t="n">
        <x:v>2.1356626937683908e-11</x:v>
      </x:c>
    </x:row>
    <x:row r="47" ht="15" hidden="0" customHeight="1">
      <x:c r="A47" s="76" t="n">
        <x:v>115</x:v>
      </x:c>
      <x:c r="B47" s="77" t="str">
        <x:v>estimated_witness</x:v>
      </x:c>
      <x:c r="C47" s="94" t="n">
        <x:v>0.1277500293904059</x:v>
      </x:c>
      <x:c r="D47" s="94" t="n">
        <x:v>0.4877565986400139</x:v>
      </x:c>
      <x:c r="E47" s="94" t="n">
        <x:v>0.6409105586043541</x:v>
      </x:c>
      <x:c r="F47" s="94" t="n">
        <x:v>0.12775002941443356</x:v>
      </x:c>
      <x:c r="G47" s="94" t="n">
        <x:v>0.22789689567266916</x:v>
      </x:c>
      <x:c r="H47" s="94" t="n">
        <x:v>0.8826282043922716</x:v>
      </x:c>
      <x:c r="I47" s="94" t="n">
        <x:v>1</x:v>
      </x:c>
      <x:c r="J47" s="94" t="n">
        <x:v>0.75</x:v>
      </x:c>
      <x:c r="K47" s="94" t="n">
        <x:v>0.1</x:v>
      </x:c>
      <x:c r="L47" s="94" t="n">
        <x:v>0.2704834832237408</x:v>
      </x:c>
      <x:c r="M47" s="94" t="n">
        <x:v>0.20286261241780557</x:v>
      </x:c>
      <x:c r="N47" s="95" t="n">
        <x:v>0.02704834832237408</x:v>
      </x:c>
    </x:row>
    <x:row r="48" ht="15" hidden="0" customHeight="1">
      <x:c r="A48" s="76" t="n">
        <x:v>115</x:v>
      </x:c>
      <x:c r="B48" s="77" t="str">
        <x:v>geometry_only</x:v>
      </x:c>
      <x:c r="C48" s="94" t="n">
        <x:v>0.15072259495005486</x:v>
      </x:c>
      <x:c r="D48" s="94" t="n">
        <x:v>0.5754671102765038</x:v>
      </x:c>
      <x:c r="E48" s="94" t="n">
        <x:v>0.6022974217114287</x:v>
      </x:c>
      <x:c r="F48" s="94" t="n">
        <x:v>0.15072259495175577</x:v>
      </x:c>
      <x:c r="G48" s="94" t="n">
        <x:v>0.26887830597519524</x:v>
      </x:c>
      <x:c r="H48" s="94" t="n">
        <x:v>0.8725198561477994</x:v>
      </x:c>
      <x:c r="I48" s="94" t="n">
        <x:v>0.25</x:v>
      </x:c>
      <x:c r="J48" s="94" t="n">
        <x:v>0</x:v>
      </x:c>
      <x:c r="K48" s="94" t="n">
        <x:v>1</x:v>
      </x:c>
      <x:c r="L48" s="94" t="n">
        <x:v>0.09613045165519878</x:v>
      </x:c>
      <x:c r="M48" s="94" t="n">
        <x:v>0</x:v>
      </x:c>
      <x:c r="N48" s="95" t="n">
        <x:v>0.09613045165519878</x:v>
      </x:c>
    </x:row>
    <x:row r="49" ht="15" hidden="0" customHeight="1">
      <x:c r="A49" s="76" t="n">
        <x:v>115</x:v>
      </x:c>
      <x:c r="B49" s="77" t="str">
        <x:v>empirical_oracle</x:v>
      </x:c>
      <x:c r="C49" s="94" t="n">
        <x:v>0.04296710738092695</x:v>
      </x:c>
      <x:c r="D49" s="94" t="n">
        <x:v>0.16405076577692815</x:v>
      </x:c>
      <x:c r="E49" s="94" t="n">
        <x:v>0.8479337369498002</x:v>
      </x:c>
      <x:c r="F49" s="94" t="n">
        <x:v>0.04296710738591387</x:v>
      </x:c>
      <x:c r="G49" s="94" t="n">
        <x:v>0.07665023980164852</x:v>
      </x:c>
      <x:c r="H49" s="94" t="n">
        <x:v>0.9326655429909098</x:v>
      </x:c>
      <x:c r="I49" s="94"/>
      <x:c r="J49" s="94"/>
      <x:c r="K49" s="94"/>
      <x:c r="L49" s="94" t="n">
        <x:v>1</x:v>
      </x:c>
      <x:c r="M49" s="94"/>
      <x:c r="N49" s="95" t="n">
        <x:v>2.0943079846183754e-11</x:v>
      </x:c>
    </x:row>
    <x:row r="50" ht="15" hidden="0" customHeight="1">
      <x:c r="A50" s="76" t="n">
        <x:v>116</x:v>
      </x:c>
      <x:c r="B50" s="77" t="str">
        <x:v>estimated_witness</x:v>
      </x:c>
      <x:c r="C50" s="94" t="n">
        <x:v>0.1285135624839814</x:v>
      </x:c>
      <x:c r="D50" s="94" t="n">
        <x:v>0.5901917152159204</x:v>
      </x:c>
      <x:c r="E50" s="94" t="n">
        <x:v>0.5469718137526236</x:v>
      </x:c>
      <x:c r="F50" s="94" t="n">
        <x:v>0.12851356251152943</x:v>
      </x:c>
      <x:c r="G50" s="94" t="n">
        <x:v>0.1768978907172772</x:v>
      </x:c>
      <x:c r="H50" s="94" t="n">
        <x:v>0.9140017783512188</x:v>
      </x:c>
      <x:c r="I50" s="94" t="n">
        <x:v>4</x:v>
      </x:c>
      <x:c r="J50" s="94" t="n">
        <x:v>0.75</x:v>
      </x:c>
      <x:c r="K50" s="94" t="n">
        <x:v>0.1</x:v>
      </x:c>
      <x:c r="L50" s="94" t="n">
        <x:v>0.395061119082393</x:v>
      </x:c>
      <x:c r="M50" s="94" t="n">
        <x:v>0.29629583931179476</x:v>
      </x:c>
      <x:c r="N50" s="95" t="n">
        <x:v>0.0395061119082393</x:v>
      </x:c>
    </x:row>
    <x:row r="51" ht="15" hidden="0" customHeight="1">
      <x:c r="A51" s="76" t="n">
        <x:v>116</x:v>
      </x:c>
      <x:c r="B51" s="77" t="str">
        <x:v>geometry_only</x:v>
      </x:c>
      <x:c r="C51" s="94" t="n">
        <x:v>0.1496413910555639</x:v>
      </x:c>
      <x:c r="D51" s="94" t="n">
        <x:v>0.6872201466315109</x:v>
      </x:c>
      <x:c r="E51" s="94" t="n">
        <x:v>0.5342149375067337</x:v>
      </x:c>
      <x:c r="F51" s="94" t="n">
        <x:v>0.1496413910792893</x:v>
      </x:c>
      <x:c r="G51" s="94" t="n">
        <x:v>0.2059801777228814</x:v>
      </x:c>
      <x:c r="H51" s="94" t="n">
        <x:v>0.9208727353262</x:v>
      </x:c>
      <x:c r="I51" s="94" t="n">
        <x:v>0.25</x:v>
      </x:c>
      <x:c r="J51" s="94" t="n">
        <x:v>0</x:v>
      </x:c>
      <x:c r="K51" s="94" t="n">
        <x:v>1</x:v>
      </x:c>
      <x:c r="L51" s="94" t="n">
        <x:v>0.0975745373008781</x:v>
      </x:c>
      <x:c r="M51" s="94" t="n">
        <x:v>0</x:v>
      </x:c>
      <x:c r="N51" s="95" t="n">
        <x:v>0.0975745373008781</x:v>
      </x:c>
    </x:row>
    <x:row r="52" ht="15" hidden="0" customHeight="1">
      <x:c r="A52" s="76" t="n">
        <x:v>116</x:v>
      </x:c>
      <x:c r="B52" s="77" t="str">
        <x:v>empirical_oracle</x:v>
      </x:c>
      <x:c r="C52" s="94" t="n">
        <x:v>0.046605040015977886</x:v>
      </x:c>
      <x:c r="D52" s="94" t="n">
        <x:v>0.21403117284345044</x:v>
      </x:c>
      <x:c r="E52" s="94" t="n">
        <x:v>0.8272909572365217</x:v>
      </x:c>
      <x:c r="F52" s="94" t="n">
        <x:v>0.046605040032969114</x:v>
      </x:c>
      <x:c r="G52" s="94" t="n">
        <x:v>0.06415146477545411</x:v>
      </x:c>
      <x:c r="H52" s="94" t="n">
        <x:v>0.9509997520374106</x:v>
      </x:c>
      <x:c r="I52" s="94"/>
      <x:c r="J52" s="94"/>
      <x:c r="K52" s="94"/>
      <x:c r="L52" s="94" t="n">
        <x:v>1</x:v>
      </x:c>
      <x:c r="M52" s="94"/>
      <x:c r="N52" s="95" t="n">
        <x:v>2.1557697271408075e-11</x:v>
      </x:c>
    </x:row>
    <x:row r="53" ht="15" hidden="0" customHeight="1">
      <x:c r="A53" s="76" t="n">
        <x:v>117</x:v>
      </x:c>
      <x:c r="B53" s="77" t="str">
        <x:v>estimated_witness</x:v>
      </x:c>
      <x:c r="C53" s="94" t="n">
        <x:v>0.2162081301164823</x:v>
      </x:c>
      <x:c r="D53" s="94" t="n">
        <x:v>0.6464782060499789</x:v>
      </x:c>
      <x:c r="E53" s="94" t="n">
        <x:v>0.5801071323493191</x:v>
      </x:c>
      <x:c r="F53" s="94" t="n">
        <x:v>0.21620813011424486</x:v>
      </x:c>
      <x:c r="G53" s="94" t="n">
        <x:v>0.20108739387557895</x:v>
      </x:c>
      <x:c r="H53" s="94" t="n">
        <x:v>0.9101980468651174</x:v>
      </x:c>
      <x:c r="I53" s="94" t="n">
        <x:v>4</x:v>
      </x:c>
      <x:c r="J53" s="94" t="n">
        <x:v>0.75</x:v>
      </x:c>
      <x:c r="K53" s="94" t="n">
        <x:v>0.1</x:v>
      </x:c>
      <x:c r="L53" s="94" t="n">
        <x:v>0.34646572105570567</x:v>
      </x:c>
      <x:c r="M53" s="94" t="n">
        <x:v>0.25984929079177926</x:v>
      </x:c>
      <x:c r="N53" s="95" t="n">
        <x:v>0.03464657210557057</x:v>
      </x:c>
    </x:row>
    <x:row r="54" ht="15" hidden="0" customHeight="1">
      <x:c r="A54" s="76" t="n">
        <x:v>117</x:v>
      </x:c>
      <x:c r="B54" s="77" t="str">
        <x:v>geometry_only</x:v>
      </x:c>
      <x:c r="C54" s="94" t="n">
        <x:v>0.2486538714052297</x:v>
      </x:c>
      <x:c r="D54" s="94" t="n">
        <x:v>0.7434933581213214</x:v>
      </x:c>
      <x:c r="E54" s="94" t="n">
        <x:v>0.46224831406213623</x:v>
      </x:c>
      <x:c r="F54" s="94" t="n">
        <x:v>0.24865387139089767</x:v>
      </x:c>
      <x:c r="G54" s="94" t="n">
        <x:v>0.23126400912235942</x:v>
      </x:c>
      <x:c r="H54" s="94" t="n">
        <x:v>0.8870488877084406</x:v>
      </x:c>
      <x:c r="I54" s="94" t="n">
        <x:v>0.25</x:v>
      </x:c>
      <x:c r="J54" s="94" t="n">
        <x:v>0</x:v>
      </x:c>
      <x:c r="K54" s="94" t="n">
        <x:v>1</x:v>
      </x:c>
      <x:c r="L54" s="94" t="n">
        <x:v>0.0867911413593711</x:v>
      </x:c>
      <x:c r="M54" s="94" t="n">
        <x:v>0</x:v>
      </x:c>
      <x:c r="N54" s="95" t="n">
        <x:v>0.0867911413593711</x:v>
      </x:c>
    </x:row>
    <x:row r="55" ht="15" hidden="0" customHeight="1">
      <x:c r="A55" s="76" t="n">
        <x:v>117</x:v>
      </x:c>
      <x:c r="B55" s="77" t="str">
        <x:v>empirical_oracle</x:v>
      </x:c>
      <x:c r="C55" s="94" t="n">
        <x:v>0.0543791184760658</x:v>
      </x:c>
      <x:c r="D55" s="94" t="n">
        <x:v>0.1625975625433074</x:v>
      </x:c>
      <x:c r="E55" s="94" t="n">
        <x:v>0.8680709898449004</x:v>
      </x:c>
      <x:c r="F55" s="94" t="n">
        <x:v>0.054379118474653314</x:v>
      </x:c>
      <x:c r="G55" s="94" t="n">
        <x:v>0.05057605932552734</x:v>
      </x:c>
      <x:c r="H55" s="94" t="n">
        <x:v>0.9664670126980575</x:v>
      </x:c>
      <x:c r="I55" s="94"/>
      <x:c r="J55" s="94"/>
      <x:c r="K55" s="94"/>
      <x:c r="L55" s="94" t="n">
        <x:v>1</x:v>
      </x:c>
      <x:c r="M55" s="94"/>
      <x:c r="N55" s="95" t="n">
        <x:v>1.9737201871485325e-11</x:v>
      </x:c>
    </x:row>
    <x:row r="56" ht="15" hidden="0" customHeight="1">
      <x:c r="A56" s="76" t="n">
        <x:v>118</x:v>
      </x:c>
      <x:c r="B56" s="77" t="str">
        <x:v>estimated_witness</x:v>
      </x:c>
      <x:c r="C56" s="94" t="n">
        <x:v>0.1590038175315794</x:v>
      </x:c>
      <x:c r="D56" s="94" t="n">
        <x:v>0.8290402770767719</x:v>
      </x:c>
      <x:c r="E56" s="94" t="n">
        <x:v>0.4879470374269665</x:v>
      </x:c>
      <x:c r="F56" s="94" t="n">
        <x:v>0.15900381754493106</x:v>
      </x:c>
      <x:c r="G56" s="94" t="n">
        <x:v>0.18096850749301327</x:v>
      </x:c>
      <x:c r="H56" s="94" t="n">
        <x:v>0.8946758209605454</x:v>
      </x:c>
      <x:c r="I56" s="94" t="n">
        <x:v>4</x:v>
      </x:c>
      <x:c r="J56" s="94" t="n">
        <x:v>0.9</x:v>
      </x:c>
      <x:c r="K56" s="94" t="n">
        <x:v>0.03</x:v>
      </x:c>
      <x:c r="L56" s="94" t="n">
        <x:v>0.7996689015528419</x:v>
      </x:c>
      <x:c r="M56" s="94" t="n">
        <x:v>0.7197020113975577</x:v>
      </x:c>
      <x:c r="N56" s="95" t="n">
        <x:v>0.023990067046585257</x:v>
      </x:c>
    </x:row>
    <x:row r="57" ht="15" hidden="0" customHeight="1">
      <x:c r="A57" s="76" t="n">
        <x:v>118</x:v>
      </x:c>
      <x:c r="B57" s="77" t="str">
        <x:v>geometry_only</x:v>
      </x:c>
      <x:c r="C57" s="94" t="n">
        <x:v>0.21778231976015155</x:v>
      </x:c>
      <x:c r="D57" s="94" t="n">
        <x:v>1.1355093073820033</x:v>
      </x:c>
      <x:c r="E57" s="94" t="n">
        <x:v>0.4320182439539706</x:v>
      </x:c>
      <x:c r="F57" s="94" t="n">
        <x:v>0.2177823197764201</x:v>
      </x:c>
      <x:c r="G57" s="94" t="n">
        <x:v>0.24786663601437103</x:v>
      </x:c>
      <x:c r="H57" s="94" t="n">
        <x:v>0.8885433495622249</x:v>
      </x:c>
      <x:c r="I57" s="94" t="n">
        <x:v>0.25</x:v>
      </x:c>
      <x:c r="J57" s="94" t="n">
        <x:v>0</x:v>
      </x:c>
      <x:c r="K57" s="94" t="n">
        <x:v>0.3</x:v>
      </x:c>
      <x:c r="L57" s="94" t="n">
        <x:v>0.20552228297790162</x:v>
      </x:c>
      <x:c r="M57" s="94" t="n">
        <x:v>0</x:v>
      </x:c>
      <x:c r="N57" s="95" t="n">
        <x:v>0.061656684893370485</x:v>
      </x:c>
    </x:row>
    <x:row r="58" ht="15" hidden="0" customHeight="1">
      <x:c r="A58" s="76" t="n">
        <x:v>118</x:v>
      </x:c>
      <x:c r="B58" s="77" t="str">
        <x:v>empirical_oracle</x:v>
      </x:c>
      <x:c r="C58" s="94" t="n">
        <x:v>0.04745275522976233</x:v>
      </x:c>
      <x:c r="D58" s="94" t="n">
        <x:v>0.24741698629924477</x:v>
      </x:c>
      <x:c r="E58" s="94" t="n">
        <x:v>0.8100028530390704</x:v>
      </x:c>
      <x:c r="F58" s="94" t="n">
        <x:v>0.04745275521866264</x:v>
      </x:c>
      <x:c r="G58" s="94" t="n">
        <x:v>0.05400784975446294</x:v>
      </x:c>
      <x:c r="H58" s="94" t="n">
        <x:v>0.9400418436401108</x:v>
      </x:c>
      <x:c r="I58" s="94"/>
      <x:c r="J58" s="94"/>
      <x:c r="K58" s="94"/>
      <x:c r="L58" s="94" t="n">
        <x:v>1</x:v>
      </x:c>
      <x:c r="M58" s="94"/>
      <x:c r="N58" s="95" t="n">
        <x:v>2.2516395030786102e-11</x:v>
      </x:c>
    </x:row>
    <x:row r="59" ht="15" hidden="0" customHeight="1">
      <x:c r="A59" s="76" t="n">
        <x:v>119</x:v>
      </x:c>
      <x:c r="B59" s="77" t="str">
        <x:v>estimated_witness</x:v>
      </x:c>
      <x:c r="C59" s="94" t="n">
        <x:v>0.11999907936409329</x:v>
      </x:c>
      <x:c r="D59" s="94" t="n">
        <x:v>0.5284407180672817</x:v>
      </x:c>
      <x:c r="E59" s="94" t="n">
        <x:v>0.6283791574278236</x:v>
      </x:c>
      <x:c r="F59" s="94" t="n">
        <x:v>0.11999907935894259</x:v>
      </x:c>
      <x:c r="G59" s="94" t="n">
        <x:v>0.18052914243927753</x:v>
      </x:c>
      <x:c r="H59" s="94" t="n">
        <x:v>0.9126951645587285</x:v>
      </x:c>
      <x:c r="I59" s="94" t="n">
        <x:v>1</x:v>
      </x:c>
      <x:c r="J59" s="94" t="n">
        <x:v>0.75</x:v>
      </x:c>
      <x:c r="K59" s="94" t="n">
        <x:v>0.1</x:v>
      </x:c>
      <x:c r="L59" s="94" t="n">
        <x:v>0.2860562136232416</x:v>
      </x:c>
      <x:c r="M59" s="94" t="n">
        <x:v>0.21454216021743117</x:v>
      </x:c>
      <x:c r="N59" s="95" t="n">
        <x:v>0.028605621362324158</x:v>
      </x:c>
    </x:row>
    <x:row r="60" ht="15" hidden="0" customHeight="1">
      <x:c r="A60" s="76" t="n">
        <x:v>119</x:v>
      </x:c>
      <x:c r="B60" s="77" t="str">
        <x:v>geometry_only</x:v>
      </x:c>
      <x:c r="C60" s="94" t="n">
        <x:v>0.16512385747311367</x:v>
      </x:c>
      <x:c r="D60" s="94" t="n">
        <x:v>0.7271569938330833</x:v>
      </x:c>
      <x:c r="E60" s="94" t="n">
        <x:v>0.5174811580484641</x:v>
      </x:c>
      <x:c r="F60" s="94" t="n">
        <x:v>0.16512385747475913</x:v>
      </x:c>
      <x:c r="G60" s="94" t="n">
        <x:v>0.2484158090664741</x:v>
      </x:c>
      <x:c r="H60" s="94" t="n">
        <x:v>0.8849258775679516</x:v>
      </x:c>
      <x:c r="I60" s="94" t="n">
        <x:v>0.25</x:v>
      </x:c>
      <x:c r="J60" s="94" t="n">
        <x:v>0</x:v>
      </x:c>
      <x:c r="K60" s="94" t="n">
        <x:v>1</x:v>
      </x:c>
      <x:c r="L60" s="94" t="n">
        <x:v>0.0969169073751232</x:v>
      </x:c>
      <x:c r="M60" s="94" t="n">
        <x:v>0</x:v>
      </x:c>
      <x:c r="N60" s="95" t="n">
        <x:v>0.0969169073751232</x:v>
      </x:c>
    </x:row>
    <x:row r="61" ht="15" hidden="0" customHeight="1">
      <x:c r="A61" s="76" t="n">
        <x:v>119</x:v>
      </x:c>
      <x:c r="B61" s="77" t="str">
        <x:v>empirical_oracle</x:v>
      </x:c>
      <x:c r="C61" s="94" t="n">
        <x:v>0.038274478765749055</x:v>
      </x:c>
      <x:c r="D61" s="94" t="n">
        <x:v>0.1685495684617345</x:v>
      </x:c>
      <x:c r="E61" s="94" t="n">
        <x:v>0.8620887774067764</x:v>
      </x:c>
      <x:c r="F61" s="94" t="n">
        <x:v>0.03827447876103147</x:v>
      </x:c>
      <x:c r="G61" s="94" t="n">
        <x:v>0.057580931995078924</x:v>
      </x:c>
      <x:c r="H61" s="94" t="n">
        <x:v>0.9461572974902015</x:v>
      </x:c>
      <x:c r="I61" s="94"/>
      <x:c r="J61" s="94"/>
      <x:c r="K61" s="94"/>
      <x:c r="L61" s="94" t="n">
        <x:v>1</x:v>
      </x:c>
      <x:c r="M61" s="94"/>
      <x:c r="N61" s="95" t="n">
        <x:v>2.191791603867894e-11</x:v>
      </x:c>
    </x:row>
    <x:row r="62" ht="15" hidden="0" customHeight="1">
      <x:c r="A62" s="76" t="n">
        <x:v>120</x:v>
      </x:c>
      <x:c r="B62" s="77" t="str">
        <x:v>estimated_witness</x:v>
      </x:c>
      <x:c r="C62" s="94" t="n">
        <x:v>0.16457312658570425</x:v>
      </x:c>
      <x:c r="D62" s="94" t="n">
        <x:v>0.5448014382017997</x:v>
      </x:c>
      <x:c r="E62" s="94" t="n">
        <x:v>0.5435990787521471</x:v>
      </x:c>
      <x:c r="F62" s="94" t="n">
        <x:v>0.16457312653541345</x:v>
      </x:c>
      <x:c r="G62" s="94" t="n">
        <x:v>0.19605080871103803</x:v>
      </x:c>
      <x:c r="H62" s="94" t="n">
        <x:v>0.8870597426414383</x:v>
      </x:c>
      <x:c r="I62" s="94" t="n">
        <x:v>4</x:v>
      </x:c>
      <x:c r="J62" s="94" t="n">
        <x:v>0.75</x:v>
      </x:c>
      <x:c r="K62" s="94" t="n">
        <x:v>0.03</x:v>
      </x:c>
      <x:c r="L62" s="94" t="n">
        <x:v>0.6015368741164522</x:v>
      </x:c>
      <x:c r="M62" s="94" t="n">
        <x:v>0.45115265558733914</x:v>
      </x:c>
      <x:c r="N62" s="95" t="n">
        <x:v>0.018046106223493563</x:v>
      </x:c>
    </x:row>
    <x:row r="63" ht="15" hidden="0" customHeight="1">
      <x:c r="A63" s="76" t="n">
        <x:v>120</x:v>
      </x:c>
      <x:c r="B63" s="77" t="str">
        <x:v>geometry_only</x:v>
      </x:c>
      <x:c r="C63" s="94" t="n">
        <x:v>0.2072472909035224</x:v>
      </x:c>
      <x:c r="D63" s="94" t="n">
        <x:v>0.6860696183520988</x:v>
      </x:c>
      <x:c r="E63" s="94" t="n">
        <x:v>0.49580828989005526</x:v>
      </x:c>
      <x:c r="F63" s="94" t="n">
        <x:v>0.20724729083798624</x:v>
      </x:c>
      <x:c r="G63" s="94" t="n">
        <x:v>0.2468872034415399</x:v>
      </x:c>
      <x:c r="H63" s="94" t="n">
        <x:v>0.8468063924264673</x:v>
      </x:c>
      <x:c r="I63" s="94" t="n">
        <x:v>0.25</x:v>
      </x:c>
      <x:c r="J63" s="94" t="n">
        <x:v>0</x:v>
      </x:c>
      <x:c r="K63" s="94" t="n">
        <x:v>0.3</x:v>
      </x:c>
      <x:c r="L63" s="94" t="n">
        <x:v>0.19946528860304957</x:v>
      </x:c>
      <x:c r="M63" s="94" t="n">
        <x:v>0</x:v>
      </x:c>
      <x:c r="N63" s="95" t="n">
        <x:v>0.05983958658091487</x:v>
      </x:c>
    </x:row>
    <x:row r="64" ht="15" hidden="0" customHeight="1">
      <x:c r="A64" s="76" t="n">
        <x:v>120</x:v>
      </x:c>
      <x:c r="B64" s="77" t="str">
        <x:v>empirical_oracle</x:v>
      </x:c>
      <x:c r="C64" s="94" t="n">
        <x:v>0.04321437079048728</x:v>
      </x:c>
      <x:c r="D64" s="94" t="n">
        <x:v>0.1430564749305092</x:v>
      </x:c>
      <x:c r="E64" s="94" t="n">
        <x:v>0.8570487183345483</x:v>
      </x:c>
      <x:c r="F64" s="94" t="n">
        <x:v>0.043214370779553944</x:v>
      </x:c>
      <x:c r="G64" s="94" t="n">
        <x:v>0.05147992577905555</x:v>
      </x:c>
      <x:c r="H64" s="94" t="n">
        <x:v>0.9476072066497793</x:v>
      </x:c>
      <x:c r="I64" s="94"/>
      <x:c r="J64" s="94"/>
      <x:c r="K64" s="94"/>
      <x:c r="L64" s="94" t="n">
        <x:v>1</x:v>
      </x:c>
      <x:c r="M64" s="94"/>
      <x:c r="N64" s="95" t="n">
        <x:v>2.050984602298413e-11</x:v>
      </x:c>
    </x:row>
    <x:row r="65" ht="15" hidden="0" customHeight="1">
      <x:c r="A65" s="76" t="n">
        <x:v>121</x:v>
      </x:c>
      <x:c r="B65" s="77" t="str">
        <x:v>estimated_witness</x:v>
      </x:c>
      <x:c r="C65" s="94" t="n">
        <x:v>0.17780259572544632</x:v>
      </x:c>
      <x:c r="D65" s="94" t="n">
        <x:v>0.6554835786195483</x:v>
      </x:c>
      <x:c r="E65" s="94" t="n">
        <x:v>0.6212646327720753</x:v>
      </x:c>
      <x:c r="F65" s="94" t="n">
        <x:v>0.1778025957407448</x:v>
      </x:c>
      <x:c r="G65" s="94" t="n">
        <x:v>0.18482604865487517</x:v>
      </x:c>
      <x:c r="H65" s="94" t="n">
        <x:v>0.9055461606926456</x:v>
      </x:c>
      <x:c r="I65" s="94" t="n">
        <x:v>4</x:v>
      </x:c>
      <x:c r="J65" s="94" t="n">
        <x:v>0.75</x:v>
      </x:c>
      <x:c r="K65" s="94" t="n">
        <x:v>0.1</x:v>
      </x:c>
      <x:c r="L65" s="94" t="n">
        <x:v>0.37131374801316563</x:v>
      </x:c>
      <x:c r="M65" s="94" t="n">
        <x:v>0.2784853110098742</x:v>
      </x:c>
      <x:c r="N65" s="95" t="n">
        <x:v>0.03713137480131656</x:v>
      </x:c>
    </x:row>
    <x:row r="66" ht="15" hidden="0" customHeight="1">
      <x:c r="A66" s="76" t="n">
        <x:v>121</x:v>
      </x:c>
      <x:c r="B66" s="77" t="str">
        <x:v>geometry_only</x:v>
      </x:c>
      <x:c r="C66" s="94" t="n">
        <x:v>0.20772668876587191</x:v>
      </x:c>
      <x:c r="D66" s="94" t="n">
        <x:v>0.7658011558914267</x:v>
      </x:c>
      <x:c r="E66" s="94" t="n">
        <x:v>0.4892905865363734</x:v>
      </x:c>
      <x:c r="F66" s="94" t="n">
        <x:v>0.2077266887820738</x:v>
      </x:c>
      <x:c r="G66" s="94" t="n">
        <x:v>0.21593218551057164</x:v>
      </x:c>
      <x:c r="H66" s="94" t="n">
        <x:v>0.8785946624663464</x:v>
      </x:c>
      <x:c r="I66" s="94" t="n">
        <x:v>0.25</x:v>
      </x:c>
      <x:c r="J66" s="94" t="n">
        <x:v>0</x:v>
      </x:c>
      <x:c r="K66" s="94" t="n">
        <x:v>1</x:v>
      </x:c>
      <x:c r="L66" s="94" t="n">
        <x:v>0.09280243153944802</x:v>
      </x:c>
      <x:c r="M66" s="94" t="n">
        <x:v>0</x:v>
      </x:c>
      <x:c r="N66" s="95" t="n">
        <x:v>0.09280243153944802</x:v>
      </x:c>
    </x:row>
    <x:row r="67" ht="15" hidden="0" customHeight="1">
      <x:c r="A67" s="76" t="n">
        <x:v>121</x:v>
      </x:c>
      <x:c r="B67" s="77" t="str">
        <x:v>empirical_oracle</x:v>
      </x:c>
      <x:c r="C67" s="94" t="n">
        <x:v>0.0510564400990255</x:v>
      </x:c>
      <x:c r="D67" s="94" t="n">
        <x:v>0.1882236754257589</x:v>
      </x:c>
      <x:c r="E67" s="94" t="n">
        <x:v>0.8401096084874288</x:v>
      </x:c>
      <x:c r="F67" s="94" t="n">
        <x:v>0.05105644010711527</x:v>
      </x:c>
      <x:c r="G67" s="94" t="n">
        <x:v>0.053073241389242264</x:v>
      </x:c>
      <x:c r="H67" s="94" t="n">
        <x:v>0.9614151131396398</x:v>
      </x:c>
      <x:c r="I67" s="94"/>
      <x:c r="J67" s="94"/>
      <x:c r="K67" s="94"/>
      <x:c r="L67" s="94" t="n">
        <x:v>1</x:v>
      </x:c>
      <x:c r="M67" s="94"/>
      <x:c r="N67" s="95" t="n">
        <x:v>2.093724270900655e-11</x:v>
      </x:c>
    </x:row>
    <x:row r="68" ht="15" hidden="0" customHeight="1">
      <x:c r="A68" s="76" t="n">
        <x:v>122</x:v>
      </x:c>
      <x:c r="B68" s="77" t="str">
        <x:v>estimated_witness</x:v>
      </x:c>
      <x:c r="C68" s="94" t="n">
        <x:v>0.11698353508388153</x:v>
      </x:c>
      <x:c r="D68" s="94" t="n">
        <x:v>0.6246634734228965</x:v>
      </x:c>
      <x:c r="E68" s="94" t="n">
        <x:v>0.5705966451392719</x:v>
      </x:c>
      <x:c r="F68" s="94" t="n">
        <x:v>0.1169835351100046</x:v>
      </x:c>
      <x:c r="G68" s="94" t="n">
        <x:v>0.1765408659917072</x:v>
      </x:c>
      <x:c r="H68" s="94" t="n">
        <x:v>0.910897794137339</x:v>
      </x:c>
      <x:c r="I68" s="94" t="n">
        <x:v>4</x:v>
      </x:c>
      <x:c r="J68" s="94" t="n">
        <x:v>0.75</x:v>
      </x:c>
      <x:c r="K68" s="94" t="n">
        <x:v>0.3</x:v>
      </x:c>
      <x:c r="L68" s="94" t="n">
        <x:v>0.2447825849344961</x:v>
      </x:c>
      <x:c r="M68" s="94" t="n">
        <x:v>0.18358693870087206</x:v>
      </x:c>
      <x:c r="N68" s="95" t="n">
        <x:v>0.07343477548034882</x:v>
      </x:c>
    </x:row>
    <x:row r="69" ht="15" hidden="0" customHeight="1">
      <x:c r="A69" s="76" t="n">
        <x:v>122</x:v>
      </x:c>
      <x:c r="B69" s="77" t="str">
        <x:v>geometry_only</x:v>
      </x:c>
      <x:c r="C69" s="94" t="n">
        <x:v>0.17119497628647345</x:v>
      </x:c>
      <x:c r="D69" s="94" t="n">
        <x:v>0.914139314075092</x:v>
      </x:c>
      <x:c r="E69" s="94" t="n">
        <x:v>0.35767483352497714</x:v>
      </x:c>
      <x:c r="F69" s="94" t="n">
        <x:v>0.17119497633289077</x:v>
      </x:c>
      <x:c r="G69" s="94" t="n">
        <x:v>0.25835182144921903</x:v>
      </x:c>
      <x:c r="H69" s="94" t="n">
        <x:v>0.8997444505942213</x:v>
      </x:c>
      <x:c r="I69" s="94" t="n">
        <x:v>0.25</x:v>
      </x:c>
      <x:c r="J69" s="94" t="n">
        <x:v>0</x:v>
      </x:c>
      <x:c r="K69" s="94" t="n">
        <x:v>1</x:v>
      </x:c>
      <x:c r="L69" s="94" t="n">
        <x:v>0.09663505710548909</x:v>
      </x:c>
      <x:c r="M69" s="94" t="n">
        <x:v>0</x:v>
      </x:c>
      <x:c r="N69" s="95" t="n">
        <x:v>0.09663505710548909</x:v>
      </x:c>
    </x:row>
    <x:row r="70" ht="15" hidden="0" customHeight="1">
      <x:c r="A70" s="76" t="n">
        <x:v>122</x:v>
      </x:c>
      <x:c r="B70" s="77" t="str">
        <x:v>empirical_oracle</x:v>
      </x:c>
      <x:c r="C70" s="94" t="n">
        <x:v>0.040017976386520444</x:v>
      </x:c>
      <x:c r="D70" s="94" t="n">
        <x:v>0.21368620901253316</x:v>
      </x:c>
      <x:c r="E70" s="94" t="n">
        <x:v>0.8262959126740065</x:v>
      </x:c>
      <x:c r="F70" s="94" t="n">
        <x:v>0.04001797640121618</x:v>
      </x:c>
      <x:c r="G70" s="94" t="n">
        <x:v>0.060391474770044064</x:v>
      </x:c>
      <x:c r="H70" s="94" t="n">
        <x:v>0.9506558375691562</x:v>
      </x:c>
      <x:c r="I70" s="94"/>
      <x:c r="J70" s="94"/>
      <x:c r="K70" s="94"/>
      <x:c r="L70" s="94" t="n">
        <x:v>1</x:v>
      </x:c>
      <x:c r="M70" s="94"/>
      <x:c r="N70" s="95" t="n">
        <x:v>2.261193041387897e-11</x:v>
      </x:c>
    </x:row>
    <x:row r="71" ht="15" hidden="0" customHeight="1">
      <x:c r="A71" s="76" t="n">
        <x:v>123</x:v>
      </x:c>
      <x:c r="B71" s="77" t="str">
        <x:v>estimated_witness</x:v>
      </x:c>
      <x:c r="C71" s="94" t="n">
        <x:v>0.21707131967162516</x:v>
      </x:c>
      <x:c r="D71" s="94" t="n">
        <x:v>0.6542720881400812</x:v>
      </x:c>
      <x:c r="E71" s="94" t="n">
        <x:v>0.5962493582869118</x:v>
      </x:c>
      <x:c r="F71" s="94" t="n">
        <x:v>0.2170713196874573</x:v>
      </x:c>
      <x:c r="G71" s="94" t="n">
        <x:v>0.24911188491458433</x:v>
      </x:c>
      <x:c r="H71" s="94" t="n">
        <x:v>0.8822671710007455</x:v>
      </x:c>
      <x:c r="I71" s="94" t="n">
        <x:v>2</x:v>
      </x:c>
      <x:c r="J71" s="94" t="n">
        <x:v>0.5</x:v>
      </x:c>
      <x:c r="K71" s="94" t="n">
        <x:v>0.3</x:v>
      </x:c>
      <x:c r="L71" s="94" t="n">
        <x:v>0.1808308717634139</x:v>
      </x:c>
      <x:c r="M71" s="94" t="n">
        <x:v>0.09041543588170695</x:v>
      </x:c>
      <x:c r="N71" s="95" t="n">
        <x:v>0.054249261529024165</x:v>
      </x:c>
    </x:row>
    <x:row r="72" ht="15" hidden="0" customHeight="1">
      <x:c r="A72" s="76" t="n">
        <x:v>123</x:v>
      </x:c>
      <x:c r="B72" s="77" t="str">
        <x:v>geometry_only</x:v>
      </x:c>
      <x:c r="C72" s="94" t="n">
        <x:v>0.2504965739159848</x:v>
      </x:c>
      <x:c r="D72" s="94" t="n">
        <x:v>0.7550187502240128</x:v>
      </x:c>
      <x:c r="E72" s="94" t="n">
        <x:v>0.5104255233549856</x:v>
      </x:c>
      <x:c r="F72" s="94" t="n">
        <x:v>0.2504965739122019</x:v>
      </x:c>
      <x:c r="G72" s="94" t="n">
        <x:v>0.2874708357684517</x:v>
      </x:c>
      <x:c r="H72" s="94" t="n">
        <x:v>0.8766189539564829</x:v>
      </x:c>
      <x:c r="I72" s="94" t="n">
        <x:v>0.25</x:v>
      </x:c>
      <x:c r="J72" s="94" t="n">
        <x:v>0</x:v>
      </x:c>
      <x:c r="K72" s="94" t="n">
        <x:v>1</x:v>
      </x:c>
      <x:c r="L72" s="94" t="n">
        <x:v>0.08901906017199954</x:v>
      </x:c>
      <x:c r="M72" s="94" t="n">
        <x:v>0</x:v>
      </x:c>
      <x:c r="N72" s="95" t="n">
        <x:v>0.08901906017199954</x:v>
      </x:c>
    </x:row>
    <x:row r="73" ht="15" hidden="0" customHeight="1">
      <x:c r="A73" s="76" t="n">
        <x:v>123</x:v>
      </x:c>
      <x:c r="B73" s="77" t="str">
        <x:v>empirical_oracle</x:v>
      </x:c>
      <x:c r="C73" s="94" t="n">
        <x:v>0.055294600614205096</x:v>
      </x:c>
      <x:c r="D73" s="94" t="n">
        <x:v>0.16666279940369672</x:v>
      </x:c>
      <x:c r="E73" s="94" t="n">
        <x:v>0.8641800216015134</x:v>
      </x:c>
      <x:c r="F73" s="94" t="n">
        <x:v>0.05529460062232827</x:v>
      </x:c>
      <x:c r="G73" s="94" t="n">
        <x:v>0.06345629725041588</x:v>
      </x:c>
      <x:c r="H73" s="94" t="n">
        <x:v>0.9338659967491921</x:v>
      </x:c>
      <x:c r="I73" s="94"/>
      <x:c r="J73" s="94"/>
      <x:c r="K73" s="94"/>
      <x:c r="L73" s="94" t="n">
        <x:v>1</x:v>
      </x:c>
      <x:c r="M73" s="94"/>
      <x:c r="N73" s="95" t="n">
        <x:v>2.0481156443527868e-11</x:v>
      </x:c>
    </x:row>
    <x:row r="74" ht="15" hidden="0" customHeight="1">
      <x:c r="A74" s="76" t="n">
        <x:v>124</x:v>
      </x:c>
      <x:c r="B74" s="77" t="str">
        <x:v>estimated_witness</x:v>
      </x:c>
      <x:c r="C74" s="94" t="n">
        <x:v>0.13276290917212213</x:v>
      </x:c>
      <x:c r="D74" s="94" t="n">
        <x:v>0.6146799346793118</x:v>
      </x:c>
      <x:c r="E74" s="94" t="n">
        <x:v>0.49658943395025157</x:v>
      </x:c>
      <x:c r="F74" s="94" t="n">
        <x:v>0.13276290920650546</x:v>
      </x:c>
      <x:c r="G74" s="94" t="n">
        <x:v>0.2689853664650118</x:v>
      </x:c>
      <x:c r="H74" s="94" t="n">
        <x:v>0.8840620477107091</x:v>
      </x:c>
      <x:c r="I74" s="94" t="n">
        <x:v>1</x:v>
      </x:c>
      <x:c r="J74" s="94" t="n">
        <x:v>0.75</x:v>
      </x:c>
      <x:c r="K74" s="94" t="n">
        <x:v>0.1</x:v>
      </x:c>
      <x:c r="L74" s="94" t="n">
        <x:v>0.27284606433330677</x:v>
      </x:c>
      <x:c r="M74" s="94" t="n">
        <x:v>0.20463454824998006</x:v>
      </x:c>
      <x:c r="N74" s="95" t="n">
        <x:v>0.02728460643333068</x:v>
      </x:c>
    </x:row>
    <x:row r="75" ht="15" hidden="0" customHeight="1">
      <x:c r="A75" s="76" t="n">
        <x:v>124</x:v>
      </x:c>
      <x:c r="B75" s="77" t="str">
        <x:v>geometry_only</x:v>
      </x:c>
      <x:c r="C75" s="94" t="n">
        <x:v>0.13696996875593923</x:v>
      </x:c>
      <x:c r="D75" s="94" t="n">
        <x:v>0.6341582296812691</x:v>
      </x:c>
      <x:c r="E75" s="94" t="n">
        <x:v>0.5433504660624747</x:v>
      </x:c>
      <x:c r="F75" s="94" t="n">
        <x:v>0.1369699687705866</x:v>
      </x:c>
      <x:c r="G75" s="94" t="n">
        <x:v>0.2775091135367508</x:v>
      </x:c>
      <x:c r="H75" s="94" t="n">
        <x:v>0.8809066832026755</x:v>
      </x:c>
      <x:c r="I75" s="94" t="n">
        <x:v>0.25</x:v>
      </x:c>
      <x:c r="J75" s="94" t="n">
        <x:v>0</x:v>
      </x:c>
      <x:c r="K75" s="94" t="n">
        <x:v>1</x:v>
      </x:c>
      <x:c r="L75" s="94" t="n">
        <x:v>0.0991932640510782</x:v>
      </x:c>
      <x:c r="M75" s="94" t="n">
        <x:v>0</x:v>
      </x:c>
      <x:c r="N75" s="95" t="n">
        <x:v>0.0991932640510782</x:v>
      </x:c>
    </x:row>
    <x:row r="76" ht="15" hidden="0" customHeight="1">
      <x:c r="A76" s="76" t="n">
        <x:v>124</x:v>
      </x:c>
      <x:c r="B76" s="77" t="str">
        <x:v>empirical_oracle</x:v>
      </x:c>
      <x:c r="C76" s="94" t="n">
        <x:v>0.03534132512566126</x:v>
      </x:c>
      <x:c r="D76" s="94" t="n">
        <x:v>0.1636270518263346</x:v>
      </x:c>
      <x:c r="E76" s="94" t="n">
        <x:v>0.841990028294792</x:v>
      </x:c>
      <x:c r="F76" s="94" t="n">
        <x:v>0.03534132513382555</x:v>
      </x:c>
      <x:c r="G76" s="94" t="n">
        <x:v>0.07160357775600312</x:v>
      </x:c>
      <x:c r="H76" s="94" t="n">
        <x:v>0.9321588005307944</x:v>
      </x:c>
      <x:c r="I76" s="94"/>
      <x:c r="J76" s="94"/>
      <x:c r="K76" s="94"/>
      <x:c r="L76" s="94" t="n">
        <x:v>1</x:v>
      </x:c>
      <x:c r="M76" s="94"/>
      <x:c r="N76" s="95" t="n">
        <x:v>2.2052696486796973e-11</x:v>
      </x:c>
    </x:row>
    <x:row r="77" ht="15" hidden="0" customHeight="1">
      <x:c r="A77" s="76" t="n">
        <x:v>125</x:v>
      </x:c>
      <x:c r="B77" s="77" t="str">
        <x:v>estimated_witness</x:v>
      </x:c>
      <x:c r="C77" s="94" t="n">
        <x:v>0.13046348385752005</x:v>
      </x:c>
      <x:c r="D77" s="94" t="n">
        <x:v>0.5590176385054526</x:v>
      </x:c>
      <x:c r="E77" s="94" t="n">
        <x:v>0.5804567125292764</x:v>
      </x:c>
      <x:c r="F77" s="94" t="n">
        <x:v>0.13046348389548976</x:v>
      </x:c>
      <x:c r="G77" s="94" t="n">
        <x:v>0.10670635043776448</x:v>
      </x:c>
      <x:c r="H77" s="94" t="n">
        <x:v>0.9370614450006923</x:v>
      </x:c>
      <x:c r="I77" s="94" t="n">
        <x:v>2</x:v>
      </x:c>
      <x:c r="J77" s="94" t="n">
        <x:v>0.75</x:v>
      </x:c>
      <x:c r="K77" s="94" t="n">
        <x:v>0.1</x:v>
      </x:c>
      <x:c r="L77" s="94" t="n">
        <x:v>0.33066088191957416</x:v>
      </x:c>
      <x:c r="M77" s="94" t="n">
        <x:v>0.2479956614396806</x:v>
      </x:c>
      <x:c r="N77" s="95" t="n">
        <x:v>0.033066088191957416</x:v>
      </x:c>
    </x:row>
    <x:row r="78" ht="15" hidden="0" customHeight="1">
      <x:c r="A78" s="76" t="n">
        <x:v>125</x:v>
      </x:c>
      <x:c r="B78" s="77" t="str">
        <x:v>geometry_only</x:v>
      </x:c>
      <x:c r="C78" s="94" t="n">
        <x:v>0.14622813072264043</x:v>
      </x:c>
      <x:c r="D78" s="94" t="n">
        <x:v>0.626566928175169</x:v>
      </x:c>
      <x:c r="E78" s="94" t="n">
        <x:v>0.5834685988444565</x:v>
      </x:c>
      <x:c r="F78" s="94" t="n">
        <x:v>0.14622813076996508</x:v>
      </x:c>
      <x:c r="G78" s="94" t="n">
        <x:v>0.1196002873746542</x:v>
      </x:c>
      <x:c r="H78" s="94" t="n">
        <x:v>0.940916688629183</x:v>
      </x:c>
      <x:c r="I78" s="94" t="n">
        <x:v>0.25</x:v>
      </x:c>
      <x:c r="J78" s="94" t="n">
        <x:v>0</x:v>
      </x:c>
      <x:c r="K78" s="94" t="n">
        <x:v>1</x:v>
      </x:c>
      <x:c r="L78" s="94" t="n">
        <x:v>0.09959439770453969</x:v>
      </x:c>
      <x:c r="M78" s="94" t="n">
        <x:v>0</x:v>
      </x:c>
      <x:c r="N78" s="95" t="n">
        <x:v>0.09959439770453969</x:v>
      </x:c>
    </x:row>
    <x:row r="79" ht="15" hidden="0" customHeight="1">
      <x:c r="A79" s="76" t="n">
        <x:v>125</x:v>
      </x:c>
      <x:c r="B79" s="77" t="str">
        <x:v>empirical_oracle</x:v>
      </x:c>
      <x:c r="C79" s="94" t="n">
        <x:v>0.05928605141745531</x:v>
      </x:c>
      <x:c r="D79" s="94" t="n">
        <x:v>0.2540323735022532</x:v>
      </x:c>
      <x:c r="E79" s="94" t="n">
        <x:v>0.8063983227359922</x:v>
      </x:c>
      <x:c r="F79" s="94" t="n">
        <x:v>0.05928605143487873</x:v>
      </x:c>
      <x:c r="G79" s="94" t="n">
        <x:v>0.048490182782097255</x:v>
      </x:c>
      <x:c r="H79" s="94" t="n">
        <x:v>0.9629635573027259</x:v>
      </x:c>
      <x:c r="I79" s="94"/>
      <x:c r="J79" s="94"/>
      <x:c r="K79" s="94"/>
      <x:c r="L79" s="94" t="n">
        <x:v>1</x:v>
      </x:c>
      <x:c r="M79" s="94"/>
      <x:c r="N79" s="95" t="n">
        <x:v>2.1613143428315464e-11</x:v>
      </x:c>
    </x:row>
    <x:row r="80" ht="15" hidden="0" customHeight="1">
      <x:c r="A80" s="76" t="n">
        <x:v>126</x:v>
      </x:c>
      <x:c r="B80" s="77" t="str">
        <x:v>estimated_witness</x:v>
      </x:c>
      <x:c r="C80" s="94" t="n">
        <x:v>0.13524893241867988</x:v>
      </x:c>
      <x:c r="D80" s="94" t="n">
        <x:v>0.6839695202562142</x:v>
      </x:c>
      <x:c r="E80" s="94" t="n">
        <x:v>0.5397428006399465</x:v>
      </x:c>
      <x:c r="F80" s="94" t="n">
        <x:v>0.13524893241174696</x:v>
      </x:c>
      <x:c r="G80" s="94" t="n">
        <x:v>0.21068422098174427</x:v>
      </x:c>
      <x:c r="H80" s="94" t="n">
        <x:v>0.8543766074449358</x:v>
      </x:c>
      <x:c r="I80" s="94" t="n">
        <x:v>0.5</x:v>
      </x:c>
      <x:c r="J80" s="94" t="n">
        <x:v>0.5</x:v>
      </x:c>
      <x:c r="K80" s="94" t="n">
        <x:v>0.1</x:v>
      </x:c>
      <x:c r="L80" s="94" t="n">
        <x:v>0.2217986764723211</x:v>
      </x:c>
      <x:c r="M80" s="94" t="n">
        <x:v>0.11089933823616055</x:v>
      </x:c>
      <x:c r="N80" s="95" t="n">
        <x:v>0.02217986764723211</x:v>
      </x:c>
    </x:row>
    <x:row r="81" ht="15" hidden="0" customHeight="1">
      <x:c r="A81" s="76" t="n">
        <x:v>126</x:v>
      </x:c>
      <x:c r="B81" s="77" t="str">
        <x:v>geometry_only</x:v>
      </x:c>
      <x:c r="C81" s="94" t="n">
        <x:v>0.18275304005907753</x:v>
      </x:c>
      <x:c r="D81" s="94" t="n">
        <x:v>0.9242032960942466</x:v>
      </x:c>
      <x:c r="E81" s="94" t="n">
        <x:v>0.3880849754469845</x:v>
      </x:c>
      <x:c r="F81" s="94" t="n">
        <x:v>0.18275304004505616</x:v>
      </x:c>
      <x:c r="G81" s="94" t="n">
        <x:v>0.2846838136712272</x:v>
      </x:c>
      <x:c r="H81" s="94" t="n">
        <x:v>0.8349074341078043</x:v>
      </x:c>
      <x:c r="I81" s="94" t="n">
        <x:v>0.25</x:v>
      </x:c>
      <x:c r="J81" s="94" t="n">
        <x:v>0</x:v>
      </x:c>
      <x:c r="K81" s="94" t="n">
        <x:v>1</x:v>
      </x:c>
      <x:c r="L81" s="94" t="n">
        <x:v>0.09534623357374353</x:v>
      </x:c>
      <x:c r="M81" s="94" t="n">
        <x:v>0</x:v>
      </x:c>
      <x:c r="N81" s="95" t="n">
        <x:v>0.09534623357374353</x:v>
      </x:c>
    </x:row>
    <x:row r="82" ht="15" hidden="0" customHeight="1">
      <x:c r="A82" s="76" t="n">
        <x:v>126</x:v>
      </x:c>
      <x:c r="B82" s="77" t="str">
        <x:v>empirical_oracle</x:v>
      </x:c>
      <x:c r="C82" s="94" t="n">
        <x:v>0.03798875822350423</x:v>
      </x:c>
      <x:c r="D82" s="94" t="n">
        <x:v>0.19211355145359243</x:v>
      </x:c>
      <x:c r="E82" s="94" t="n">
        <x:v>0.822959969179485</x:v>
      </x:c>
      <x:c r="F82" s="94" t="n">
        <x:v>0.03798875821905815</x:v>
      </x:c>
      <x:c r="G82" s="94" t="n">
        <x:v>0.05917704331358516</x:v>
      </x:c>
      <x:c r="H82" s="94" t="n">
        <x:v>0.9336269388955567</x:v>
      </x:c>
      <x:c r="I82" s="94"/>
      <x:c r="J82" s="94"/>
      <x:c r="K82" s="94"/>
      <x:c r="L82" s="94" t="n">
        <x:v>1</x:v>
      </x:c>
      <x:c r="M82" s="94"/>
      <x:c r="N82" s="95" t="n">
        <x:v>2.226632814000385e-11</x:v>
      </x:c>
    </x:row>
    <x:row r="83" ht="15" hidden="0" customHeight="1">
      <x:c r="A83" s="76" t="n">
        <x:v>127</x:v>
      </x:c>
      <x:c r="B83" s="77" t="str">
        <x:v>estimated_witness</x:v>
      </x:c>
      <x:c r="C83" s="94" t="n">
        <x:v>0.1327355792870061</x:v>
      </x:c>
      <x:c r="D83" s="94" t="n">
        <x:v>0.5912993279337503</x:v>
      </x:c>
      <x:c r="E83" s="94" t="n">
        <x:v>0.5341170508330834</x:v>
      </x:c>
      <x:c r="F83" s="94" t="n">
        <x:v>0.13273557929663005</x:v>
      </x:c>
      <x:c r="G83" s="94" t="n">
        <x:v>0.1948465750244628</x:v>
      </x:c>
      <x:c r="H83" s="94" t="n">
        <x:v>0.9138789100129516</x:v>
      </x:c>
      <x:c r="I83" s="94" t="n">
        <x:v>2</x:v>
      </x:c>
      <x:c r="J83" s="94" t="n">
        <x:v>0.9</x:v>
      </x:c>
      <x:c r="K83" s="94" t="n">
        <x:v>0.1</x:v>
      </x:c>
      <x:c r="L83" s="94" t="n">
        <x:v>0.40299555011788346</x:v>
      </x:c>
      <x:c r="M83" s="94" t="n">
        <x:v>0.3626959951060951</x:v>
      </x:c>
      <x:c r="N83" s="95" t="n">
        <x:v>0.04029955501178835</x:v>
      </x:c>
    </x:row>
    <x:row r="84" ht="15" hidden="0" customHeight="1">
      <x:c r="A84" s="76" t="n">
        <x:v>127</x:v>
      </x:c>
      <x:c r="B84" s="77" t="str">
        <x:v>geometry_only</x:v>
      </x:c>
      <x:c r="C84" s="94" t="n">
        <x:v>0.133592537566254</x:v>
      </x:c>
      <x:c r="D84" s="94" t="n">
        <x:v>0.595116833815055</x:v>
      </x:c>
      <x:c r="E84" s="94" t="n">
        <x:v>0.5825420587334863</x:v>
      </x:c>
      <x:c r="F84" s="94" t="n">
        <x:v>0.13359253758964967</x:v>
      </x:c>
      <x:c r="G84" s="94" t="n">
        <x:v>0.19610453004465023</x:v>
      </x:c>
      <x:c r="H84" s="94" t="n">
        <x:v>0.9203552753296736</x:v>
      </x:c>
      <x:c r="I84" s="94" t="n">
        <x:v>0.25</x:v>
      </x:c>
      <x:c r="J84" s="94" t="n">
        <x:v>0</x:v>
      </x:c>
      <x:c r="K84" s="94" t="n">
        <x:v>3</x:v>
      </x:c>
      <x:c r="L84" s="94" t="n">
        <x:v>0.046943335169015554</x:v>
      </x:c>
      <x:c r="M84" s="94" t="n">
        <x:v>0</x:v>
      </x:c>
      <x:c r="N84" s="95" t="n">
        <x:v>0.14083000550704666</x:v>
      </x:c>
    </x:row>
    <x:row r="85" ht="15" hidden="0" customHeight="1">
      <x:c r="A85" s="76" t="n">
        <x:v>127</x:v>
      </x:c>
      <x:c r="B85" s="77" t="str">
        <x:v>empirical_oracle</x:v>
      </x:c>
      <x:c r="C85" s="94" t="n">
        <x:v>0.04810216641145156</x:v>
      </x:c>
      <x:c r="D85" s="94" t="n">
        <x:v>0.21428149727473314</x:v>
      </x:c>
      <x:c r="E85" s="94" t="n">
        <x:v>0.80774794953094</x:v>
      </x:c>
      <x:c r="F85" s="94" t="n">
        <x:v>0.048102166424529004</x:v>
      </x:c>
      <x:c r="G85" s="94" t="n">
        <x:v>0.07061062624461036</x:v>
      </x:c>
      <x:c r="H85" s="94" t="n">
        <x:v>0.9451337028079619</x:v>
      </x:c>
      <x:c r="I85" s="94"/>
      <x:c r="J85" s="94"/>
      <x:c r="K85" s="94"/>
      <x:c r="L85" s="94" t="n">
        <x:v>1</x:v>
      </x:c>
      <x:c r="M85" s="94"/>
      <x:c r="N85" s="95" t="n">
        <x:v>2.16925669408798e-11</x:v>
      </x:c>
    </x:row>
    <x:row r="86" ht="15" hidden="0" customHeight="1">
      <x:c r="A86" s="76" t="n">
        <x:v>128</x:v>
      </x:c>
      <x:c r="B86" s="77" t="str">
        <x:v>estimated_witness</x:v>
      </x:c>
      <x:c r="C86" s="94" t="n">
        <x:v>0.179083713235381</x:v>
      </x:c>
      <x:c r="D86" s="94" t="n">
        <x:v>0.5575078570030364</x:v>
      </x:c>
      <x:c r="E86" s="94" t="n">
        <x:v>0.5095987796899252</x:v>
      </x:c>
      <x:c r="F86" s="94" t="n">
        <x:v>0.17908371318428248</x:v>
      </x:c>
      <x:c r="G86" s="94" t="n">
        <x:v>0.21334150931593396</x:v>
      </x:c>
      <x:c r="H86" s="94" t="n">
        <x:v>0.9016577094384108</x:v>
      </x:c>
      <x:c r="I86" s="94" t="n">
        <x:v>4</x:v>
      </x:c>
      <x:c r="J86" s="94" t="n">
        <x:v>0.5</x:v>
      </x:c>
      <x:c r="K86" s="94" t="n">
        <x:v>0.3</x:v>
      </x:c>
      <x:c r="L86" s="94" t="n">
        <x:v>0.19617770203181834</x:v>
      </x:c>
      <x:c r="M86" s="94" t="n">
        <x:v>0.09808885101590917</x:v>
      </x:c>
      <x:c r="N86" s="95" t="n">
        <x:v>0.058853310609545496</x:v>
      </x:c>
    </x:row>
    <x:row r="87" ht="15" hidden="0" customHeight="1">
      <x:c r="A87" s="76" t="n">
        <x:v>128</x:v>
      </x:c>
      <x:c r="B87" s="77" t="str">
        <x:v>geometry_only</x:v>
      </x:c>
      <x:c r="C87" s="94" t="n">
        <x:v>0.2128354430885226</x:v>
      </x:c>
      <x:c r="D87" s="94" t="n">
        <x:v>0.6625808099847417</x:v>
      </x:c>
      <x:c r="E87" s="94" t="n">
        <x:v>0.4735267411273653</x:v>
      </x:c>
      <x:c r="F87" s="94" t="n">
        <x:v>0.21283544302986696</x:v>
      </x:c>
      <x:c r="G87" s="94" t="n">
        <x:v>0.25354977202864065</x:v>
      </x:c>
      <x:c r="H87" s="94" t="n">
        <x:v>0.8867384620922836</x:v>
      </x:c>
      <x:c r="I87" s="94" t="n">
        <x:v>0.25</x:v>
      </x:c>
      <x:c r="J87" s="94" t="n">
        <x:v>0</x:v>
      </x:c>
      <x:c r="K87" s="94" t="n">
        <x:v>1</x:v>
      </x:c>
      <x:c r="L87" s="94" t="n">
        <x:v>0.08935779239651744</x:v>
      </x:c>
      <x:c r="M87" s="94" t="n">
        <x:v>0</x:v>
      </x:c>
      <x:c r="N87" s="95" t="n">
        <x:v>0.08935779239651744</x:v>
      </x:c>
    </x:row>
    <x:row r="88" ht="15" hidden="0" customHeight="1">
      <x:c r="A88" s="76" t="n">
        <x:v>128</x:v>
      </x:c>
      <x:c r="B88" s="77" t="str">
        <x:v>empirical_oracle</x:v>
      </x:c>
      <x:c r="C88" s="94" t="n">
        <x:v>0.04619815937456297</x:v>
      </x:c>
      <x:c r="D88" s="94" t="n">
        <x:v>0.1438200960047373</x:v>
      </x:c>
      <x:c r="E88" s="94" t="n">
        <x:v>0.8442509666516275</x:v>
      </x:c>
      <x:c r="F88" s="94" t="n">
        <x:v>0.046198159363166014</x:v>
      </x:c>
      <x:c r="G88" s="94" t="n">
        <x:v>0.05503563038149528</x:v>
      </x:c>
      <x:c r="H88" s="94" t="n">
        <x:v>0.9530586808672832</x:v>
      </x:c>
      <x:c r="I88" s="94"/>
      <x:c r="J88" s="94"/>
      <x:c r="K88" s="94"/>
      <x:c r="L88" s="94" t="n">
        <x:v>1</x:v>
      </x:c>
      <x:c r="M88" s="94"/>
      <x:c r="N88" s="95" t="n">
        <x:v>1.994138736523457e-11</x:v>
      </x:c>
    </x:row>
    <x:row r="89" ht="15" hidden="0" customHeight="1">
      <x:c r="A89" s="76" t="n">
        <x:v>129</x:v>
      </x:c>
      <x:c r="B89" s="77" t="str">
        <x:v>estimated_witness</x:v>
      </x:c>
      <x:c r="C89" s="94" t="n">
        <x:v>0.16355134924171816</x:v>
      </x:c>
      <x:c r="D89" s="94" t="n">
        <x:v>0.49775969469505954</x:v>
      </x:c>
      <x:c r="E89" s="94" t="n">
        <x:v>0.6373740884882603</x:v>
      </x:c>
      <x:c r="F89" s="94" t="n">
        <x:v>0.16355134921674233</x:v>
      </x:c>
      <x:c r="G89" s="94" t="n">
        <x:v>0.2139858025429167</x:v>
      </x:c>
      <x:c r="H89" s="94" t="n">
        <x:v>0.8950009224917505</x:v>
      </x:c>
      <x:c r="I89" s="94" t="n">
        <x:v>1</x:v>
      </x:c>
      <x:c r="J89" s="94" t="n">
        <x:v>0.75</x:v>
      </x:c>
      <x:c r="K89" s="94" t="n">
        <x:v>0.1</x:v>
      </x:c>
      <x:c r="L89" s="94" t="n">
        <x:v>0.2573073934265472</x:v>
      </x:c>
      <x:c r="M89" s="94" t="n">
        <x:v>0.1929805450699104</x:v>
      </x:c>
      <x:c r="N89" s="95" t="n">
        <x:v>0.02573073934265472</x:v>
      </x:c>
    </x:row>
    <x:row r="90" ht="15" hidden="0" customHeight="1">
      <x:c r="A90" s="76" t="n">
        <x:v>129</x:v>
      </x:c>
      <x:c r="B90" s="77" t="str">
        <x:v>geometry_only</x:v>
      </x:c>
      <x:c r="C90" s="94" t="n">
        <x:v>0.21796895506419647</x:v>
      </x:c>
      <x:c r="D90" s="94" t="n">
        <x:v>0.663376737818319</x:v>
      </x:c>
      <x:c r="E90" s="94" t="n">
        <x:v>0.5017960761136167</x:v>
      </x:c>
      <x:c r="F90" s="94" t="n">
        <x:v>0.21796895503229946</x:v>
      </x:c>
      <x:c r="G90" s="94" t="n">
        <x:v>0.2851842066445813</x:v>
      </x:c>
      <x:c r="H90" s="94" t="n">
        <x:v>0.8868013758158579</x:v>
      </x:c>
      <x:c r="I90" s="94" t="n">
        <x:v>0.25</x:v>
      </x:c>
      <x:c r="J90" s="94" t="n">
        <x:v>0</x:v>
      </x:c>
      <x:c r="K90" s="94" t="n">
        <x:v>1</x:v>
      </x:c>
      <x:c r="L90" s="94" t="n">
        <x:v>0.09084149378758286</x:v>
      </x:c>
      <x:c r="M90" s="94" t="n">
        <x:v>0</x:v>
      </x:c>
      <x:c r="N90" s="95" t="n">
        <x:v>0.09084149378758286</x:v>
      </x:c>
    </x:row>
    <x:row r="91" ht="15" hidden="0" customHeight="1">
      <x:c r="A91" s="79" t="n">
        <x:v>129</x:v>
      </x:c>
      <x:c r="B91" s="80" t="str">
        <x:v>empirical_oracle</x:v>
      </x:c>
      <x:c r="C91" s="96" t="n">
        <x:v>0.04597137784490553</x:v>
      </x:c>
      <x:c r="D91" s="96" t="n">
        <x:v>0.13991140462541996</x:v>
      </x:c>
      <x:c r="E91" s="96" t="n">
        <x:v>0.853323982388186</x:v>
      </x:c>
      <x:c r="F91" s="96" t="n">
        <x:v>0.04597137783582327</x:v>
      </x:c>
      <x:c r="G91" s="96" t="n">
        <x:v>0.06014760640809978</x:v>
      </x:c>
      <x:c r="H91" s="96" t="n">
        <x:v>0.93435744266588</x:v>
      </x:c>
      <x:c r="I91" s="96"/>
      <x:c r="J91" s="96"/>
      <x:c r="K91" s="96"/>
      <x:c r="L91" s="96" t="n">
        <x:v>1</x:v>
      </x:c>
      <x:c r="M91" s="96"/>
      <x:c r="N91" s="97" t="n">
        <x:v>2.0264538147974154e-11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890000104904175" hidden="0" customWidth="1"/>
    <x:col min="2" max="2" width="29.780000686645508" hidden="0" customWidth="1"/>
    <x:col min="3" max="3" width="31.329999923706055" hidden="0" customWidth="1"/>
    <x:col min="4" max="4" width="31" hidden="0" customWidth="1"/>
    <x:col min="5" max="5" width="21.440000534057617" hidden="0" customWidth="1"/>
    <x:col min="6" max="6" width="20.219999313354492" hidden="0" customWidth="1"/>
    <x:col min="7" max="7" width="20" hidden="0" customWidth="1"/>
  </x:cols>
  <x:sheetData>
    <x:row r="1" ht="15" hidden="0" customHeight="1">
      <x:c r="A1" s="91" t="str">
        <x:v>seed</x:v>
      </x:c>
      <x:c r="B1" s="92" t="str">
        <x:v>spearman_estimated_risk_vs_oracle_risk</x:v>
      </x:c>
      <x:c r="C1" s="92" t="str">
        <x:v>spearman_estimated_risk_vs_realized_mse</x:v>
      </x:c>
      <x:c r="D1" s="92" t="str">
        <x:v>spearman_geometry_risk_vs_realized_mse</x:v>
      </x:c>
      <x:c r="E1" s="92" t="str">
        <x:v>oracle_formula_relative_error</x:v>
      </x:c>
      <x:c r="F1" s="92" t="str">
        <x:v>oracle_efficiency_estimated</x:v>
      </x:c>
      <x:c r="G1" s="93" t="str">
        <x:v>oracle_efficiency_geometry</x:v>
      </x:c>
    </x:row>
    <x:row r="2" ht="15" hidden="0" customHeight="1">
      <x:c r="A2" s="76" t="n">
        <x:v>100</x:v>
      </x:c>
      <x:c r="B2" s="94" t="n">
        <x:v>0.4905982905982905</x:v>
      </x:c>
      <x:c r="C2" s="94" t="n">
        <x:v>0.3558974358974359</x:v>
      </x:c>
      <x:c r="D2" s="94" t="n">
        <x:v>0.08512820512820513</x:v>
      </x:c>
      <x:c r="E2" s="98" t="n">
        <x:v>1.4306151138022272e-9</x:v>
      </x:c>
      <x:c r="F2" s="94" t="n">
        <x:v>0.45298797097169974</x:v>
      </x:c>
      <x:c r="G2" s="95" t="n">
        <x:v>0.4652673029646816</x:v>
      </x:c>
    </x:row>
    <x:row r="3" ht="15" hidden="0" customHeight="1">
      <x:c r="A3" s="76" t="n">
        <x:v>101</x:v>
      </x:c>
      <x:c r="B3" s="94" t="n">
        <x:v>0.5172649572649572</x:v>
      </x:c>
      <x:c r="C3" s="94" t="n">
        <x:v>0.507008547008547</x:v>
      </x:c>
      <x:c r="D3" s="94" t="n">
        <x:v>-0.10837606837606836</x:v>
      </x:c>
      <x:c r="E3" s="98" t="n">
        <x:v>1.3725633674553765e-9</x:v>
      </x:c>
      <x:c r="F3" s="94" t="n">
        <x:v>0.4355790124162596</x:v>
      </x:c>
      <x:c r="G3" s="95" t="n">
        <x:v>0.3554735636517995</x:v>
      </x:c>
    </x:row>
    <x:row r="4" ht="15" hidden="0" customHeight="1">
      <x:c r="A4" s="76" t="n">
        <x:v>102</x:v>
      </x:c>
      <x:c r="B4" s="94" t="n">
        <x:v>0.5097435897435897</x:v>
      </x:c>
      <x:c r="C4" s="94" t="n">
        <x:v>0.5391452991452992</x:v>
      </x:c>
      <x:c r="D4" s="94" t="n">
        <x:v>-0.048888888888888885</x:v>
      </x:c>
      <x:c r="E4" s="98" t="n">
        <x:v>1.3377142808433644e-9</x:v>
      </x:c>
      <x:c r="F4" s="94" t="n">
        <x:v>0.45247978894272867</x:v>
      </x:c>
      <x:c r="G4" s="95" t="n">
        <x:v>0.4552462821477008</x:v>
      </x:c>
    </x:row>
    <x:row r="5" ht="15" hidden="0" customHeight="1">
      <x:c r="A5" s="76" t="n">
        <x:v>103</x:v>
      </x:c>
      <x:c r="B5" s="94" t="n">
        <x:v>0.7155555555555554</x:v>
      </x:c>
      <x:c r="C5" s="94" t="n">
        <x:v>0.4823931623931623</x:v>
      </x:c>
      <x:c r="D5" s="94" t="n">
        <x:v>0.07727816833751085</x:v>
      </x:c>
      <x:c r="E5" s="98" t="n">
        <x:v>1.392481763517841e-9</x:v>
      </x:c>
      <x:c r="F5" s="94" t="n">
        <x:v>0.40920712665660003</x:v>
      </x:c>
      <x:c r="G5" s="95" t="n">
        <x:v>0.40864969733418016</x:v>
      </x:c>
    </x:row>
    <x:row r="6" ht="15" hidden="0" customHeight="1">
      <x:c r="A6" s="76" t="n">
        <x:v>104</x:v>
      </x:c>
      <x:c r="B6" s="94" t="n">
        <x:v>0.5186324786324785</x:v>
      </x:c>
      <x:c r="C6" s="94" t="n">
        <x:v>0.4352136752136752</x:v>
      </x:c>
      <x:c r="D6" s="94" t="n">
        <x:v>-0.2300854700854701</x:v>
      </x:c>
      <x:c r="E6" s="98" t="n">
        <x:v>1.4316244698829446e-9</x:v>
      </x:c>
      <x:c r="F6" s="94" t="n">
        <x:v>0.38465634904653406</x:v>
      </x:c>
      <x:c r="G6" s="95" t="n">
        <x:v>0.3483822602236456</x:v>
      </x:c>
    </x:row>
    <x:row r="7" ht="15" hidden="0" customHeight="1">
      <x:c r="A7" s="76" t="n">
        <x:v>105</x:v>
      </x:c>
      <x:c r="B7" s="94" t="n">
        <x:v>0.5117948717948718</x:v>
      </x:c>
      <x:c r="C7" s="94" t="n">
        <x:v>0.3682051282051282</x:v>
      </x:c>
      <x:c r="D7" s="94" t="n">
        <x:v>-0.12076636422572762</x:v>
      </x:c>
      <x:c r="E7" s="98" t="n">
        <x:v>1.3511139176662085e-9</x:v>
      </x:c>
      <x:c r="F7" s="94" t="n">
        <x:v>0.34838240145126326</x:v>
      </x:c>
      <x:c r="G7" s="95" t="n">
        <x:v>0.31520173645325444</x:v>
      </x:c>
    </x:row>
    <x:row r="8" ht="15" hidden="0" customHeight="1">
      <x:c r="A8" s="76" t="n">
        <x:v>106</x:v>
      </x:c>
      <x:c r="B8" s="94" t="n">
        <x:v>0.5425641025641026</x:v>
      </x:c>
      <x:c r="C8" s="94" t="n">
        <x:v>0.5917948717948718</x:v>
      </x:c>
      <x:c r="D8" s="94" t="n">
        <x:v>0.23897435897435895</x:v>
      </x:c>
      <x:c r="E8" s="98" t="n">
        <x:v>1.3384313194192195e-9</x:v>
      </x:c>
      <x:c r="F8" s="94" t="n">
        <x:v>0.4578979360823523</x:v>
      </x:c>
      <x:c r="G8" s="95" t="n">
        <x:v>0.39071177079567776</x:v>
      </x:c>
    </x:row>
    <x:row r="9" ht="15" hidden="0" customHeight="1">
      <x:c r="A9" s="76" t="n">
        <x:v>107</x:v>
      </x:c>
      <x:c r="B9" s="94" t="n">
        <x:v>0.47008547008547</x:v>
      </x:c>
      <x:c r="C9" s="94" t="n">
        <x:v>0.5432478632478631</x:v>
      </x:c>
      <x:c r="D9" s="94" t="n">
        <x:v>0.015045307109957863</x:v>
      </x:c>
      <x:c r="E9" s="98" t="n">
        <x:v>1.3752915695109113e-9</x:v>
      </x:c>
      <x:c r="F9" s="94" t="n">
        <x:v>0.4014002637967738</x:v>
      </x:c>
      <x:c r="G9" s="95" t="n">
        <x:v>0.3697329679413706</x:v>
      </x:c>
    </x:row>
    <x:row r="10" ht="15" hidden="0" customHeight="1">
      <x:c r="A10" s="76" t="n">
        <x:v>108</x:v>
      </x:c>
      <x:c r="B10" s="94" t="n">
        <x:v>0.3846153846153845</x:v>
      </x:c>
      <x:c r="C10" s="94" t="n">
        <x:v>0.44068376068376064</x:v>
      </x:c>
      <x:c r="D10" s="94" t="n">
        <x:v>0.11452991452991453</x:v>
      </x:c>
      <x:c r="E10" s="98" t="n">
        <x:v>2.021883697149051e-9</x:v>
      </x:c>
      <x:c r="F10" s="94" t="n">
        <x:v>0.41727712205141965</x:v>
      </x:c>
      <x:c r="G10" s="95" t="n">
        <x:v>0.43419380495548354</x:v>
      </x:c>
    </x:row>
    <x:row r="11" ht="15" hidden="0" customHeight="1">
      <x:c r="A11" s="76" t="n">
        <x:v>109</x:v>
      </x:c>
      <x:c r="B11" s="94" t="n">
        <x:v>0.5104273504273503</x:v>
      </x:c>
      <x:c r="C11" s="94" t="n">
        <x:v>0.4748717948717948</x:v>
      </x:c>
      <x:c r="D11" s="94" t="n">
        <x:v>0.018803418803418803</x:v>
      </x:c>
      <x:c r="E11" s="98" t="n">
        <x:v>1.3652382448851938e-9</x:v>
      </x:c>
      <x:c r="F11" s="94" t="n">
        <x:v>0.3786961701224301</x:v>
      </x:c>
      <x:c r="G11" s="95" t="n">
        <x:v>0.28202043673081</x:v>
      </x:c>
    </x:row>
    <x:row r="12" ht="15" hidden="0" customHeight="1">
      <x:c r="A12" s="76" t="n">
        <x:v>110</x:v>
      </x:c>
      <x:c r="B12" s="94" t="n">
        <x:v>0.3647863247863247</x:v>
      </x:c>
      <x:c r="C12" s="94" t="n">
        <x:v>0.2676923076923077</x:v>
      </x:c>
      <x:c r="D12" s="94" t="n">
        <x:v>0.16928865559101552</x:v>
      </x:c>
      <x:c r="E12" s="98" t="n">
        <x:v>1.192451394268688e-9</x:v>
      </x:c>
      <x:c r="F12" s="94" t="n">
        <x:v>0.44539978623836946</x:v>
      </x:c>
      <x:c r="G12" s="95" t="n">
        <x:v>0.41280107816349554</x:v>
      </x:c>
    </x:row>
    <x:row r="13" ht="15" hidden="0" customHeight="1">
      <x:c r="A13" s="76" t="n">
        <x:v>111</x:v>
      </x:c>
      <x:c r="B13" s="94" t="n">
        <x:v>0.4543589743589744</x:v>
      </x:c>
      <x:c r="C13" s="94" t="n">
        <x:v>0.5699145299145298</x:v>
      </x:c>
      <x:c r="D13" s="94" t="n">
        <x:v>-0.14461538461538462</x:v>
      </x:c>
      <x:c r="E13" s="98" t="n">
        <x:v>1.7040318321021654e-9</x:v>
      </x:c>
      <x:c r="F13" s="94" t="n">
        <x:v>0.3938720753577742</x:v>
      </x:c>
      <x:c r="G13" s="95" t="n">
        <x:v>0.3254325352240004</x:v>
      </x:c>
    </x:row>
    <x:row r="14" ht="15" hidden="0" customHeight="1">
      <x:c r="A14" s="76" t="n">
        <x:v>112</x:v>
      </x:c>
      <x:c r="B14" s="94" t="n">
        <x:v>0.4441025641025641</x:v>
      </x:c>
      <x:c r="C14" s="94" t="n">
        <x:v>0.44957264957264953</x:v>
      </x:c>
      <x:c r="D14" s="94" t="n">
        <x:v>0.02974358974358974</x:v>
      </x:c>
      <x:c r="E14" s="98" t="n">
        <x:v>1.3448768132946766e-9</x:v>
      </x:c>
      <x:c r="F14" s="94" t="n">
        <x:v>0.35523686905348956</x:v>
      </x:c>
      <x:c r="G14" s="95" t="n">
        <x:v>0.35710627122903155</x:v>
      </x:c>
    </x:row>
    <x:row r="15" ht="15" hidden="0" customHeight="1">
      <x:c r="A15" s="76" t="n">
        <x:v>113</x:v>
      </x:c>
      <x:c r="B15" s="94" t="n">
        <x:v>0.3531623931623932</x:v>
      </x:c>
      <x:c r="C15" s="94" t="n">
        <x:v>0.5097435897435897</x:v>
      </x:c>
      <x:c r="D15" s="94" t="n">
        <x:v>-0.11798906298767747</x:v>
      </x:c>
      <x:c r="E15" s="98" t="n">
        <x:v>1.712130570679081e-9</x:v>
      </x:c>
      <x:c r="F15" s="94" t="n">
        <x:v>0.448027770346527</x:v>
      </x:c>
      <x:c r="G15" s="95" t="n">
        <x:v>0.4519185309042861</x:v>
      </x:c>
    </x:row>
    <x:row r="16" ht="15" hidden="0" customHeight="1">
      <x:c r="A16" s="76" t="n">
        <x:v>114</x:v>
      </x:c>
      <x:c r="B16" s="94" t="n">
        <x:v>0.13025641025641024</x:v>
      </x:c>
      <x:c r="C16" s="94" t="n">
        <x:v>0.33196581196581193</x:v>
      </x:c>
      <x:c r="D16" s="94" t="n">
        <x:v>0.04376816613805924</x:v>
      </x:c>
      <x:c r="E16" s="98" t="n">
        <x:v>1.3806501146324011e-9</x:v>
      </x:c>
      <x:c r="F16" s="94" t="n">
        <x:v>0.39645738538450115</x:v>
      </x:c>
      <x:c r="G16" s="95" t="n">
        <x:v>0.31092527136768816</x:v>
      </x:c>
    </x:row>
    <x:row r="17" ht="15" hidden="0" customHeight="1">
      <x:c r="A17" s="76" t="n">
        <x:v>115</x:v>
      </x:c>
      <x:c r="B17" s="94" t="n">
        <x:v>0.2841025641025641</x:v>
      </x:c>
      <x:c r="C17" s="94" t="n">
        <x:v>0.23692307692307688</x:v>
      </x:c>
      <x:c r="D17" s="94" t="n">
        <x:v>0.037264957264957266</x:v>
      </x:c>
      <x:c r="E17" s="98" t="n">
        <x:v>1.2679825708433165e-9</x:v>
      </x:c>
      <x:c r="F17" s="94" t="n">
        <x:v>0.4453752132162422</x:v>
      </x:c>
      <x:c r="G17" s="95" t="n">
        <x:v>0.3789774002731182</x:v>
      </x:c>
    </x:row>
    <x:row r="18" ht="15" hidden="0" customHeight="1">
      <x:c r="A18" s="76" t="n">
        <x:v>116</x:v>
      </x:c>
      <x:c r="B18" s="94" t="n">
        <x:v>0.6738461538461538</x:v>
      </x:c>
      <x:c r="C18" s="94" t="n">
        <x:v>0.4625641025641026</x:v>
      </x:c>
      <x:c r="D18" s="94" t="n">
        <x:v>0.14324786324786323</x:v>
      </x:c>
      <x:c r="E18" s="98" t="n">
        <x:v>1.4691712004301374e-9</x:v>
      </x:c>
      <x:c r="F18" s="94" t="n">
        <x:v>0.43436072594840175</x:v>
      </x:c>
      <x:c r="G18" s="95" t="n">
        <x:v>0.4244865678251411</x:v>
      </x:c>
    </x:row>
    <x:row r="19" ht="15" hidden="0" customHeight="1">
      <x:c r="A19" s="76" t="n">
        <x:v>117</x:v>
      </x:c>
      <x:c r="B19" s="94" t="n">
        <x:v>0.5323076923076923</x:v>
      </x:c>
      <x:c r="C19" s="94" t="n">
        <x:v>0.38256410256410256</x:v>
      </x:c>
      <x:c r="D19" s="94" t="n">
        <x:v>0.05641025641025641</x:v>
      </x:c>
      <x:c r="E19" s="98" t="n">
        <x:v>1.3007723177742783e-9</x:v>
      </x:c>
      <x:c r="F19" s="94" t="n">
        <x:v>0.42799061224058493</x:v>
      </x:c>
      <x:c r="G19" s="95" t="n">
        <x:v>0.31624818314921455</x:v>
      </x:c>
    </x:row>
    <x:row r="20" ht="15" hidden="0" customHeight="1">
      <x:c r="A20" s="76" t="n">
        <x:v>118</x:v>
      </x:c>
      <x:c r="B20" s="94" t="n">
        <x:v>0.4782905982905982</x:v>
      </x:c>
      <x:c r="C20" s="94" t="n">
        <x:v>0.6601709401709401</x:v>
      </x:c>
      <x:c r="D20" s="94" t="n">
        <x:v>-0.3887179487179487</x:v>
      </x:c>
      <x:c r="E20" s="98" t="n">
        <x:v>2.0107031185481578e-9</x:v>
      </x:c>
      <x:c r="F20" s="94" t="n">
        <x:v>0.3775052319771431</x:v>
      </x:c>
      <x:c r="G20" s="95" t="n">
        <x:v>0.3322691300888221</x:v>
      </x:c>
    </x:row>
    <x:row r="21" ht="15" hidden="0" customHeight="1">
      <x:c r="A21" s="76" t="n">
        <x:v>119</x:v>
      </x:c>
      <x:c r="B21" s="94" t="n">
        <x:v>0.4536752136752136</x:v>
      </x:c>
      <x:c r="C21" s="94" t="n">
        <x:v>0.6923076923076923</x:v>
      </x:c>
      <x:c r="D21" s="94" t="n">
        <x:v>-0.31965811965811963</x:v>
      </x:c>
      <x:c r="E21" s="98" t="n">
        <x:v>1.7555459174523642e-9</x:v>
      </x:c>
      <x:c r="F21" s="94" t="n">
        <x:v>0.440449876724113</x:v>
      </x:c>
      <x:c r="G21" s="95" t="n">
        <x:v>0.3385058973870166</x:v>
      </x:c>
    </x:row>
    <x:row r="22" ht="15" hidden="0" customHeight="1">
      <x:c r="A22" s="76" t="n">
        <x:v>120</x:v>
      </x:c>
      <x:c r="B22" s="94" t="n">
        <x:v>0.4099145299145299</x:v>
      </x:c>
      <x:c r="C22" s="94" t="n">
        <x:v>0.6198290598290598</x:v>
      </x:c>
      <x:c r="D22" s="94" t="n">
        <x:v>-0.014017094017094016</x:v>
      </x:c>
      <x:c r="E22" s="98" t="n">
        <x:v>1.5807589011402196e-9</x:v>
      </x:c>
      <x:c r="F22" s="94" t="n">
        <x:v>0.3597171623911739</x:v>
      </x:c>
      <x:c r="G22" s="95" t="n">
        <x:v>0.3152331594986331</x:v>
      </x:c>
    </x:row>
    <x:row r="23" ht="15" hidden="0" customHeight="1">
      <x:c r="A23" s="76" t="n">
        <x:v>121</x:v>
      </x:c>
      <x:c r="B23" s="94" t="n">
        <x:v>0.4769230769230769</x:v>
      </x:c>
      <x:c r="C23" s="94" t="n">
        <x:v>0.2752136752136752</x:v>
      </x:c>
      <x:c r="D23" s="94" t="n">
        <x:v>0.1794871794871795</x:v>
      </x:c>
      <x:c r="E23" s="98" t="n">
        <x:v>1.6360387897116749e-9</x:v>
      </x:c>
      <x:c r="F23" s="94" t="n">
        <x:v>0.41565967461811965</x:v>
      </x:c>
      <x:c r="G23" s="95" t="n">
        <x:v>0.34966805517789806</x:v>
      </x:c>
    </x:row>
    <x:row r="24" ht="15" hidden="0" customHeight="1">
      <x:c r="A24" s="76" t="n">
        <x:v>122</x:v>
      </x:c>
      <x:c r="B24" s="94" t="n">
        <x:v>0.18017094017094015</x:v>
      </x:c>
      <x:c r="C24" s="94" t="n">
        <x:v>0.2553846153846154</x:v>
      </x:c>
      <x:c r="D24" s="94" t="n">
        <x:v>0.04752136752136752</x:v>
      </x:c>
      <x:c r="E24" s="98" t="n">
        <x:v>1.6282507741659084e-9</x:v>
      </x:c>
      <x:c r="F24" s="94" t="n">
        <x:v>0.4707738626659194</x:v>
      </x:c>
      <x:c r="G24" s="95" t="n">
        <x:v>0.3621837202506138</x:v>
      </x:c>
    </x:row>
    <x:row r="25" ht="15" hidden="0" customHeight="1">
      <x:c r="A25" s="76" t="n">
        <x:v>123</x:v>
      </x:c>
      <x:c r="B25" s="94" t="n">
        <x:v>0.6088888888888888</x:v>
      </x:c>
      <x:c r="C25" s="94" t="n">
        <x:v>0.6362393162393162</x:v>
      </x:c>
      <x:c r="D25" s="94" t="n">
        <x:v>0.11794871794871793</x:v>
      </x:c>
      <x:c r="E25" s="98" t="n">
        <x:v>1.4578050814063898e-9</x:v>
      </x:c>
      <x:c r="F25" s="94" t="n">
        <x:v>0.4284332624932227</x:v>
      </x:c>
      <x:c r="G25" s="95" t="n">
        <x:v>0.3708333219837181</x:v>
      </x:c>
    </x:row>
    <x:row r="26" ht="15" hidden="0" customHeight="1">
      <x:c r="A26" s="76" t="n">
        <x:v>124</x:v>
      </x:c>
      <x:c r="B26" s="94" t="n">
        <x:v>0.28957264957264955</x:v>
      </x:c>
      <x:c r="C26" s="94" t="n">
        <x:v>0.43863247863247856</x:v>
      </x:c>
      <x:c r="D26" s="94" t="n">
        <x:v>-0.2300854700854701</x:v>
      </x:c>
      <x:c r="E26" s="98" t="n">
        <x:v>1.5495732436237168e-9</x:v>
      </x:c>
      <x:c r="F26" s="94" t="n">
        <x:v>0.39166581449730065</x:v>
      </x:c>
      <x:c r="G26" s="95" t="n">
        <x:v>0.3888787891326041</x:v>
      </x:c>
    </x:row>
    <x:row r="27" ht="15" hidden="0" customHeight="1">
      <x:c r="A27" s="76" t="n">
        <x:v>125</x:v>
      </x:c>
      <x:c r="B27" s="94" t="n">
        <x:v>0.5712820512820513</x:v>
      </x:c>
      <x:c r="C27" s="94" t="n">
        <x:v>0.7299145299145299</x:v>
      </x:c>
      <x:c r="D27" s="94" t="n">
        <x:v>0.41128205128205125</x:v>
      </x:c>
      <x:c r="E27" s="98" t="n">
        <x:v>1.448637096986942e-9</x:v>
      </x:c>
      <x:c r="F27" s="94" t="n">
        <x:v>0.4719016490442118</x:v>
      </x:c>
      <x:c r="G27" s="95" t="n">
        <x:v>0.48417330102262135</x:v>
      </x:c>
    </x:row>
    <x:row r="28" ht="15" hidden="0" customHeight="1">
      <x:c r="A28" s="76" t="n">
        <x:v>126</x:v>
      </x:c>
      <x:c r="B28" s="94" t="n">
        <x:v>0.44478632478632474</x:v>
      </x:c>
      <x:c r="C28" s="94" t="n">
        <x:v>0.4133333333333333</x:v>
      </x:c>
      <x:c r="D28" s="94" t="n">
        <x:v>-0.18085470085470085</x:v>
      </x:c>
      <x:c r="E28" s="98" t="n">
        <x:v>1.710611927592111e-9</x:v>
      </x:c>
      <x:c r="F28" s="94" t="n">
        <x:v>0.39966208787397806</x:v>
      </x:c>
      <x:c r="G28" s="95" t="n">
        <x:v>0.34222122401661487</x:v>
      </x:c>
    </x:row>
    <x:row r="29" ht="15" hidden="0" customHeight="1">
      <x:c r="A29" s="76" t="n">
        <x:v>127</x:v>
      </x:c>
      <x:c r="B29" s="94" t="n">
        <x:v>0.06461538461538462</x:v>
      </x:c>
      <x:c r="C29" s="94" t="n">
        <x:v>0.5056410256410256</x:v>
      </x:c>
      <x:c r="D29" s="94" t="n">
        <x:v>-0.03521367521367521</x:v>
      </x:c>
      <x:c r="E29" s="98" t="n">
        <x:v>1.4326548161575334e-9</x:v>
      </x:c>
      <x:c r="F29" s="94" t="n">
        <x:v>0.46369807497567367</x:v>
      </x:c>
      <x:c r="G29" s="95" t="n">
        <x:v>0.4598857720286668</x:v>
      </x:c>
    </x:row>
    <x:row r="30" ht="15" hidden="0" customHeight="1">
      <x:c r="A30" s="76" t="n">
        <x:v>128</x:v>
      </x:c>
      <x:c r="B30" s="94" t="n">
        <x:v>0.3818803418803418</x:v>
      </x:c>
      <x:c r="C30" s="94" t="n">
        <x:v>0.4536752136752136</x:v>
      </x:c>
      <x:c r="D30" s="94" t="n">
        <x:v>0.21025641025641023</x:v>
      </x:c>
      <x:c r="E30" s="98" t="n">
        <x:v>1.7367704369112827e-9</x:v>
      </x:c>
      <x:c r="F30" s="94" t="n">
        <x:v>0.40149281176381196</x:v>
      </x:c>
      <x:c r="G30" s="95" t="n">
        <x:v>0.33755387687904514</x:v>
      </x:c>
    </x:row>
    <x:row r="31" ht="15" hidden="0" customHeight="1">
      <x:c r="A31" s="79" t="n">
        <x:v>129</x:v>
      </x:c>
      <x:c r="B31" s="96" t="n">
        <x:v>0.38324786324786325</x:v>
      </x:c>
      <x:c r="C31" s="96" t="n">
        <x:v>0.39965811965811965</x:v>
      </x:c>
      <x:c r="D31" s="96" t="n">
        <x:v>0.1576068376068376</x:v>
      </x:c>
      <x:c r="E31" s="99" t="n">
        <x:v>1.3851515809233864e-9</x:v>
      </x:c>
      <x:c r="F31" s="96" t="n">
        <x:v>0.38753743211307806</x:v>
      </x:c>
      <x:c r="G31" s="97" t="n">
        <x:v>0.3630407246809692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29999923706055" hidden="0" customWidth="1"/>
    <x:col min="2" max="2" width="6.440000057220459" hidden="0" customWidth="1"/>
    <x:col min="3" max="3" width="9.109999656677246" hidden="0" customWidth="1"/>
    <x:col min="4" max="4" width="9.109999656677246" hidden="0" customWidth="1"/>
    <x:col min="5" max="5" width="14.329999923706055" hidden="0" customWidth="1"/>
    <x:col min="6" max="6" width="15" hidden="0" customWidth="1"/>
    <x:col min="7" max="7" width="15.109999656677246" hidden="0" customWidth="1"/>
  </x:cols>
  <x:sheetData>
    <x:row r="1" ht="15" hidden="0" customHeight="1">
      <x:c r="A1" s="91" t="str">
        <x:v>metric</x:v>
      </x:c>
      <x:c r="B1" s="92" t="str">
        <x:v>n_seeds</x:v>
      </x:c>
      <x:c r="C1" s="92" t="str">
        <x:v>mean</x:v>
      </x:c>
      <x:c r="D1" s="92" t="str">
        <x:v>sd</x:v>
      </x:c>
      <x:c r="E1" s="92" t="str">
        <x:v>bootstrap_95ci_low</x:v>
      </x:c>
      <x:c r="F1" s="92" t="str">
        <x:v>bootstrap_95ci_high</x:v>
      </x:c>
      <x:c r="G1" s="93" t="str">
        <x:v>bootstrap_replicates</x:v>
      </x:c>
    </x:row>
    <x:row r="2" ht="15" hidden="0" customHeight="1">
      <x:c r="A2" s="76" t="str">
        <x:v>relative_residual_mse_improvement</x:v>
      </x:c>
      <x:c r="B2" s="77" t="n">
        <x:v>30</x:v>
      </x:c>
      <x:c r="C2" s="94" t="n">
        <x:v>0.15372466848644664</x:v>
      </x:c>
      <x:c r="D2" s="94" t="n">
        <x:v>0.1119524761808186</x:v>
      </x:c>
      <x:c r="E2" s="94" t="n">
        <x:v>0.11376321892076376</x:v>
      </x:c>
      <x:c r="F2" s="94" t="n">
        <x:v>0.19227285268126698</x:v>
      </x:c>
      <x:c r="G2" s="78" t="n">
        <x:v>20000</x:v>
      </x:c>
    </x:row>
    <x:row r="3" ht="15" hidden="0" customHeight="1">
      <x:c r="A3" s="76" t="str">
        <x:v>residual_cosine_gain</x:v>
      </x:c>
      <x:c r="B3" s="77" t="n">
        <x:v>30</x:v>
      </x:c>
      <x:c r="C3" s="94" t="n">
        <x:v>0.06547957073124121</x:v>
      </x:c>
      <x:c r="D3" s="94" t="n">
        <x:v>0.06229564496120392</x:v>
      </x:c>
      <x:c r="E3" s="94" t="n">
        <x:v>0.04381230517135656</x:v>
      </x:c>
      <x:c r="F3" s="94" t="n">
        <x:v>0.08765130735773251</x:v>
      </x:c>
      <x:c r="G3" s="78" t="n">
        <x:v>20000</x:v>
      </x:c>
    </x:row>
    <x:row r="4" ht="15" hidden="0" customHeight="1">
      <x:c r="A4" s="76" t="str">
        <x:v>full_effect_cosine_gain</x:v>
      </x:c>
      <x:c r="B4" s="77" t="n">
        <x:v>30</x:v>
      </x:c>
      <x:c r="C4" s="94" t="n">
        <x:v>0.013467887073745652</x:v>
      </x:c>
      <x:c r="D4" s="94" t="n">
        <x:v>0.014258208974732579</x:v>
      </x:c>
      <x:c r="E4" s="94" t="n">
        <x:v>0.008613639427609801</x:v>
      </x:c>
      <x:c r="F4" s="94" t="n">
        <x:v>0.018596795977792353</x:v>
      </x:c>
      <x:c r="G4" s="78" t="n">
        <x:v>20000</x:v>
      </x:c>
    </x:row>
    <x:row r="5" ht="15" hidden="0" customHeight="1">
      <x:c r="A5" s="76" t="str">
        <x:v>spearman_estimated_risk_vs_oracle_risk</x:v>
      </x:c>
      <x:c r="B5" s="77" t="n">
        <x:v>30</x:v>
      </x:c>
      <x:c r="C5" s="94" t="n">
        <x:v>0.43838176638176635</x:v>
      </x:c>
      <x:c r="D5" s="94" t="n">
        <x:v>0.14434890981148307</x:v>
      </x:c>
      <x:c r="E5" s="94" t="n">
        <x:v>0.38598290598290597</x:v>
      </x:c>
      <x:c r="F5" s="94" t="n">
        <x:v>0.4873851851851851</x:v>
      </x:c>
      <x:c r="G5" s="78" t="n">
        <x:v>20000</x:v>
      </x:c>
    </x:row>
    <x:row r="6" ht="15" hidden="0" customHeight="1">
      <x:c r="A6" s="76" t="str">
        <x:v>spearman_estimated_risk_vs_realized_mse</x:v>
      </x:c>
      <x:c r="B6" s="77" t="n">
        <x:v>30</x:v>
      </x:c>
      <x:c r="C6" s="94" t="n">
        <x:v>0.46764672364672355</x:v>
      </x:c>
      <x:c r="D6" s="94" t="n">
        <x:v>0.1291491791377465</x:v>
      </x:c>
      <x:c r="E6" s="94" t="n">
        <x:v>0.4224273504273504</x:v>
      </x:c>
      <x:c r="F6" s="94" t="n">
        <x:v>0.5130495726495724</x:v>
      </x:c>
      <x:c r="G6" s="78" t="n">
        <x:v>20000</x:v>
      </x:c>
    </x:row>
    <x:row r="7" ht="15" hidden="0" customHeight="1">
      <x:c r="A7" s="76" t="str">
        <x:v>oracle_efficiency_estimated</x:v>
      </x:c>
      <x:c r="B7" s="77" t="n">
        <x:v>30</x:v>
      </x:c>
      <x:c r="C7" s="94" t="n">
        <x:v>0.41645938401538984</x:v>
      </x:c>
      <x:c r="D7" s="94" t="n">
        <x:v>0.034996585020084264</x:v>
      </x:c>
      <x:c r="E7" s="94" t="n">
        <x:v>0.4040710698241458</x:v>
      </x:c>
      <x:c r="F7" s="94" t="n">
        <x:v>0.4286243658832409</x:v>
      </x:c>
      <x:c r="G7" s="78" t="n">
        <x:v>20000</x:v>
      </x:c>
    </x:row>
    <x:row r="8" ht="15" hidden="0" customHeight="1">
      <x:c r="A8" s="79" t="str">
        <x:v>oracle_efficiency_geometry</x:v>
      </x:c>
      <x:c r="B8" s="80" t="n">
        <x:v>30</x:v>
      </x:c>
      <x:c r="C8" s="96" t="n">
        <x:v>0.3749074211160602</x:v>
      </x:c>
      <x:c r="D8" s="96" t="n">
        <x:v>0.053318647474506965</x:v>
      </x:c>
      <x:c r="E8" s="96" t="n">
        <x:v>0.35628987027861503</x:v>
      </x:c>
      <x:c r="F8" s="96" t="n">
        <x:v>0.39414743891380755</x:v>
      </x:c>
      <x:c r="G8" s="81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.78000020980835" hidden="0" customWidth="1"/>
    <x:col min="3" max="3" width="12.220000267028809" hidden="0" customWidth="1"/>
    <x:col min="4" max="4" width="25" hidden="0" customWidth="1"/>
    <x:col min="5" max="5" width="3.7799999713897705" hidden="0" customWidth="1"/>
    <x:col min="6" max="6" width="9.109999656677246" hidden="0" customWidth="1"/>
    <x:col min="7" max="7" width="22" hidden="0" customWidth="1"/>
  </x:cols>
  <x:sheetData>
    <x:row r="1" ht="24" hidden="0" customHeight="1">
      <x:c r="A1" s="91" t="str">
        <x:v>metric</x:v>
      </x:c>
      <x:c r="B1" s="92" t="str">
        <x:v>direction</x:v>
      </x:c>
      <x:c r="C1" s="92" t="str">
        <x:v>difference_mean</x:v>
      </x:c>
      <x:c r="D1" s="92" t="str">
        <x:v>relative_improvement_mean</x:v>
      </x:c>
      <x:c r="E1" s="92" t="str">
        <x:v>wins</x:v>
      </x:c>
      <x:c r="F1" s="92" t="str">
        <x:v>win_rate</x:v>
      </x:c>
      <x:c r="G1" s="93" t="str">
        <x:v>p_one_sided_wilcoxon</x:v>
      </x:c>
    </x:row>
    <x:row r="2" ht="15" hidden="0" customHeight="1">
      <x:c r="A2" s="76" t="str">
        <x:v>residual_mse</x:v>
      </x:c>
      <x:c r="B2" s="77" t="str">
        <x:v>lower</x:v>
      </x:c>
      <x:c r="C2" s="94" t="n">
        <x:v>0.03097170359279972</x:v>
      </x:c>
      <x:c r="D2" s="94" t="n">
        <x:v>0.15372466848644664</x:v>
      </x:c>
      <x:c r="E2" s="94" t="n">
        <x:v>26</x:v>
      </x:c>
      <x:c r="F2" s="94" t="n">
        <x:v>0.8666666666666667</x:v>
      </x:c>
      <x:c r="G2" s="100" t="n">
        <x:v>1.2759119272232056e-7</x:v>
      </x:c>
    </x:row>
    <x:row r="3" ht="15" hidden="0" customHeight="1">
      <x:c r="A3" s="76" t="str">
        <x:v>residual_nmse</x:v>
      </x:c>
      <x:c r="B3" s="77" t="str">
        <x:v>lower</x:v>
      </x:c>
      <x:c r="C3" s="94" t="n">
        <x:v>0.12590467065109684</x:v>
      </x:c>
      <x:c r="D3" s="94" t="n">
        <x:v>0.1537246684864466</x:v>
      </x:c>
      <x:c r="E3" s="94" t="n">
        <x:v>26</x:v>
      </x:c>
      <x:c r="F3" s="94" t="n">
        <x:v>0.8666666666666667</x:v>
      </x:c>
      <x:c r="G3" s="100" t="n">
        <x:v>1.5739351511001587e-7</x:v>
      </x:c>
    </x:row>
    <x:row r="4" ht="15" hidden="0" customHeight="1">
      <x:c r="A4" s="76" t="str">
        <x:v>residual_cosine</x:v>
      </x:c>
      <x:c r="B4" s="77" t="str">
        <x:v>higher</x:v>
      </x:c>
      <x:c r="C4" s="94" t="n">
        <x:v>0.06547957073124121</x:v>
      </x:c>
      <x:c r="D4" s="94" t="n">
        <x:v>0.1476145813761458</x:v>
      </x:c>
      <x:c r="E4" s="94" t="n">
        <x:v>26</x:v>
      </x:c>
      <x:c r="F4" s="94" t="n">
        <x:v>0.8666666666666667</x:v>
      </x:c>
      <x:c r="G4" s="100" t="n">
        <x:v>0.000002210959792137146</x:v>
      </x:c>
    </x:row>
    <x:row r="5" ht="15" hidden="0" customHeight="1">
      <x:c r="A5" s="76" t="str">
        <x:v>full_effect_mse</x:v>
      </x:c>
      <x:c r="B5" s="77" t="str">
        <x:v>lower</x:v>
      </x:c>
      <x:c r="C5" s="94" t="n">
        <x:v>0.03097170358736968</x:v>
      </x:c>
      <x:c r="D5" s="94" t="n">
        <x:v>0.15372466845597027</x:v>
      </x:c>
      <x:c r="E5" s="94" t="n">
        <x:v>26</x:v>
      </x:c>
      <x:c r="F5" s="94" t="n">
        <x:v>0.8666666666666667</x:v>
      </x:c>
      <x:c r="G5" s="100" t="n">
        <x:v>1.2759119272232056e-7</x:v>
      </x:c>
    </x:row>
    <x:row r="6" ht="15" hidden="0" customHeight="1">
      <x:c r="A6" s="76" t="str">
        <x:v>full_effect_nmse</x:v>
      </x:c>
      <x:c r="B6" s="77" t="str">
        <x:v>lower</x:v>
      </x:c>
      <x:c r="C6" s="94" t="n">
        <x:v>0.03741404346874239</x:v>
      </x:c>
      <x:c r="D6" s="94" t="n">
        <x:v>0.15372466845597027</x:v>
      </x:c>
      <x:c r="E6" s="94" t="n">
        <x:v>26</x:v>
      </x:c>
      <x:c r="F6" s="94" t="n">
        <x:v>0.8666666666666667</x:v>
      </x:c>
      <x:c r="G6" s="100" t="n">
        <x:v>1.0244548320770264e-7</x:v>
      </x:c>
    </x:row>
    <x:row r="7" ht="15" hidden="0" customHeight="1">
      <x:c r="A7" s="79" t="str">
        <x:v>full_effect_cosine</x:v>
      </x:c>
      <x:c r="B7" s="80" t="str">
        <x:v>higher</x:v>
      </x:c>
      <x:c r="C7" s="96" t="n">
        <x:v>0.013467887073745678</x:v>
      </x:c>
      <x:c r="D7" s="96" t="n">
        <x:v>0.015601635203000203</x:v>
      </x:c>
      <x:c r="E7" s="96" t="n">
        <x:v>23</x:v>
      </x:c>
      <x:c r="F7" s="96" t="n">
        <x:v>0.7666666666666667</x:v>
      </x:c>
      <x:c r="G7" s="101" t="n">
        <x:v>0.000007988885045051575</x:v>
      </x:c>
    </x:row>
  </x:sheetData>
  <x:pageMargins left="0.7" right="0.7" top="0.75" bottom="0.75" header="0.3" footer="0.3"/>
</x:worksheet>
</file>